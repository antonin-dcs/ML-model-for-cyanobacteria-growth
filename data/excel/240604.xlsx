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dric.guerin\Documents\Projets\2025\EI ST4\Donnees historiques\Donnees J1\"/>
    </mc:Choice>
  </mc:AlternateContent>
  <xr:revisionPtr revIDLastSave="0" documentId="13_ncr:1_{958EEF99-B9C3-417A-AFA8-150505C72902}" xr6:coauthVersionLast="47" xr6:coauthVersionMax="47" xr10:uidLastSave="{00000000-0000-0000-0000-000000000000}"/>
  <bookViews>
    <workbookView xWindow="-120" yWindow="-120" windowWidth="38640" windowHeight="21240" xr2:uid="{3DDA2BC8-ED91-4139-A628-7FA1339DA6A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E32" i="1"/>
  <c r="E28" i="1"/>
  <c r="E26" i="1"/>
  <c r="E24" i="1"/>
  <c r="E22" i="1"/>
  <c r="E20" i="1"/>
  <c r="E18" i="1"/>
  <c r="E16" i="1"/>
  <c r="E14" i="1"/>
  <c r="E12" i="1"/>
  <c r="E10" i="1"/>
  <c r="E8" i="1"/>
  <c r="E6" i="1"/>
  <c r="E2" i="1"/>
  <c r="E4" i="1"/>
</calcChain>
</file>

<file path=xl/sharedStrings.xml><?xml version="1.0" encoding="utf-8"?>
<sst xmlns="http://schemas.openxmlformats.org/spreadsheetml/2006/main" count="32" uniqueCount="27">
  <si>
    <t>Echantillon</t>
  </si>
  <si>
    <t>Date</t>
  </si>
  <si>
    <t>Heure</t>
  </si>
  <si>
    <t>Temps de culture (en h)</t>
  </si>
  <si>
    <t>T°C</t>
  </si>
  <si>
    <t>pH</t>
  </si>
  <si>
    <r>
      <t>P</t>
    </r>
    <r>
      <rPr>
        <b/>
        <vertAlign val="subscript"/>
        <sz val="11"/>
        <color theme="1"/>
        <rFont val="Calibri"/>
        <family val="2"/>
        <scheme val="minor"/>
      </rPr>
      <t>O2</t>
    </r>
    <r>
      <rPr>
        <b/>
        <sz val="11"/>
        <color theme="1"/>
        <rFont val="Calibri"/>
        <family val="2"/>
        <scheme val="minor"/>
      </rPr>
      <t xml:space="preserve"> dissout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</si>
  <si>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600nm Tot</t>
    </r>
  </si>
  <si>
    <t>Glucose</t>
  </si>
  <si>
    <t>Ethanol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</si>
  <si>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</si>
  <si>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</si>
  <si>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</si>
  <si>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</si>
  <si>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</si>
  <si>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</si>
  <si>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</si>
  <si>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</si>
  <si>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</si>
  <si>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</si>
  <si>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</si>
  <si>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&lt; 0.2</t>
  </si>
  <si>
    <t>E12</t>
  </si>
  <si>
    <t>E13</t>
  </si>
  <si>
    <t>E14</t>
  </si>
  <si>
    <t>E15</t>
  </si>
  <si>
    <t>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</si>
</sst>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</font>
    <font>
      <b/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0" fontId="1" fillId="0" borderId="0"/>
  </cellStyleXfs>
  <cellXfs count="41">
    <xf numFmtId="0" fontId="0" fillId="0" borderId="0" xfId="0"/>
    <xf numFmtId="0" fontId="3" fillId="0" borderId="3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2" fillId="3" borderId="5" xfId="1" applyFill="1" applyBorder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20" fontId="0" fillId="0" borderId="0" xfId="0" applyNumberFormat="1"/>
    <xf numFmtId="164" fontId="1" fillId="3" borderId="21" xfId="3" applyNumberFormat="1" applyFill="1" applyBorder="1" applyAlignment="1">
      <alignment horizontal="center" vertical="center"/>
    </xf>
    <xf numFmtId="164" fontId="1" fillId="3" borderId="17" xfId="3" applyNumberFormat="1" applyFill="1" applyBorder="1" applyAlignment="1">
      <alignment horizontal="center" vertical="center"/>
    </xf>
    <xf numFmtId="164" fontId="1" fillId="4" borderId="22" xfId="3" applyNumberFormat="1" applyFill="1" applyBorder="1" applyAlignment="1">
      <alignment horizontal="center" vertical="center"/>
    </xf>
    <xf numFmtId="164" fontId="1" fillId="4" borderId="10" xfId="3" applyNumberFormat="1" applyFill="1" applyBorder="1" applyAlignment="1">
      <alignment horizontal="center" vertical="center"/>
    </xf>
    <xf numFmtId="164" fontId="1" fillId="3" borderId="19" xfId="3" applyNumberFormat="1" applyFill="1" applyBorder="1" applyAlignment="1">
      <alignment horizontal="center" vertical="center"/>
    </xf>
    <xf numFmtId="164" fontId="1" fillId="4" borderId="9" xfId="3" applyNumberFormat="1" applyFill="1" applyBorder="1" applyAlignment="1">
      <alignment horizontal="center" vertical="center"/>
    </xf>
    <xf numFmtId="0" fontId="1" fillId="3" borderId="17" xfId="3" applyFill="1" applyBorder="1" applyAlignment="1">
      <alignment horizontal="center" vertical="center"/>
    </xf>
    <xf numFmtId="0" fontId="1" fillId="4" borderId="10" xfId="3" applyFill="1" applyBorder="1" applyAlignment="1">
      <alignment horizontal="center" vertical="center"/>
    </xf>
    <xf numFmtId="164" fontId="1" fillId="4" borderId="15" xfId="3" applyNumberForma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6" xfId="2" applyFont="1" applyBorder="1" applyAlignment="1">
      <alignment horizontal="center" vertical="center"/>
    </xf>
    <xf numFmtId="14" fontId="6" fillId="0" borderId="18" xfId="2" applyNumberFormat="1" applyFont="1" applyBorder="1" applyAlignment="1">
      <alignment horizontal="center" vertical="center"/>
    </xf>
    <xf numFmtId="20" fontId="6" fillId="0" borderId="6" xfId="2" applyNumberFormat="1" applyFont="1" applyBorder="1" applyAlignment="1">
      <alignment horizontal="center" vertical="center"/>
    </xf>
    <xf numFmtId="20" fontId="6" fillId="0" borderId="7" xfId="2" applyNumberFormat="1" applyFont="1" applyBorder="1" applyAlignment="1">
      <alignment horizontal="center" vertical="center"/>
    </xf>
    <xf numFmtId="2" fontId="0" fillId="0" borderId="16" xfId="2" applyNumberFormat="1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164" fontId="1" fillId="0" borderId="11" xfId="2" applyNumberFormat="1" applyFont="1" applyBorder="1" applyAlignment="1">
      <alignment horizontal="center" vertical="center"/>
    </xf>
    <xf numFmtId="164" fontId="1" fillId="0" borderId="12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 wrapText="1"/>
    </xf>
    <xf numFmtId="0" fontId="3" fillId="0" borderId="13" xfId="2" applyFont="1" applyBorder="1" applyAlignment="1">
      <alignment horizontal="center" vertical="center" wrapText="1"/>
    </xf>
    <xf numFmtId="0" fontId="3" fillId="0" borderId="14" xfId="2" applyFont="1" applyBorder="1" applyAlignment="1">
      <alignment horizontal="center" vertical="center" wrapText="1"/>
    </xf>
    <xf numFmtId="0" fontId="1" fillId="0" borderId="20" xfId="2" applyFont="1" applyBorder="1" applyAlignment="1">
      <alignment horizontal="center" vertical="center" wrapText="1"/>
    </xf>
    <xf numFmtId="20" fontId="6" fillId="0" borderId="20" xfId="2" applyNumberFormat="1" applyFont="1" applyBorder="1" applyAlignment="1">
      <alignment horizontal="center" vertical="center"/>
    </xf>
    <xf numFmtId="164" fontId="8" fillId="0" borderId="17" xfId="2" applyNumberFormat="1" applyFont="1" applyBorder="1" applyAlignment="1">
      <alignment horizontal="center" vertical="center"/>
    </xf>
    <xf numFmtId="164" fontId="8" fillId="0" borderId="11" xfId="2" applyNumberFormat="1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2" fontId="1" fillId="0" borderId="16" xfId="2" applyNumberFormat="1" applyFont="1" applyBorder="1" applyAlignment="1">
      <alignment horizontal="center" vertical="center"/>
    </xf>
  </cellXfs>
  <cellStyles count="4">
    <cellStyle name="Bad" xfId="1" builtinId="27"/>
    <cellStyle name="Normal" xfId="0" builtinId="0"/>
    <cellStyle name="Normal 2 3" xfId="2" xr:uid="{FD994A10-3FCB-4B69-937B-5B0CCFC1053C}"/>
    <cellStyle name="Normal 43" xfId="3" xr:uid="{B367EB6C-F02B-4F5D-92BB-D4E10857DF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E7A23-4E18-4AA3-868F-1EA4E98C7148}">
  <dimension ref="A1:K35"/>
  <sheetViews>
    <sheetView tabSelected="1" workbookViewId="0">
      <selection activeCell="B2" sqref="B2:B33"/>
    </sheetView>
  </sheetViews>
  <sheetFormatPr defaultColWidth="8.85546875" defaultRowHeight="15"/>
  <cols>
    <col min="1" max="1" width="20.140625" customWidth="1"/>
    <col min="3" max="3" width="10.5703125" bestFit="1" customWidth="1"/>
    <col min="4" max="4" width="8.85546875" bestFit="1" customWidth="1"/>
    <col min="5" max="5" width="10.42578125" bestFit="1" customWidth="1"/>
    <col min="10" max="11" width="8.85546875" style="8"/>
  </cols>
  <sheetData>
    <row r="1" spans="1:11" ht="45.75" thickBot="1">
      <c r="A1" s="33" t="s">
        <v>0</v>
      </c>
      <c r="B1" s="34"/>
      <c r="C1" s="1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3" t="s">
        <v>6</v>
      </c>
      <c r="I1" s="5" t="s">
        <v>7</v>
      </c>
      <c r="J1" s="6" t="s">
        <v>8</v>
      </c>
      <c r="K1" s="7" t="s">
        <v>9</v>
      </c>
    </row>
    <row r="2" spans="1:11" ht="14.45" customHeight="1">
      <c r="A2" s="32" t="s">
        <v>10</v>
      </c>
      <c r="B2" s="19"/>
      <c r="C2" s="22">
        <v>45447</v>
      </c>
      <c r="D2" s="23">
        <v>0.38124999999999998</v>
      </c>
      <c r="E2" s="25">
        <f>(D2-$D$2)*24</f>
        <v>0</v>
      </c>
      <c r="F2" s="26">
        <v>25</v>
      </c>
      <c r="G2" s="39">
        <v>6.56</v>
      </c>
      <c r="H2" s="29">
        <v>0</v>
      </c>
      <c r="I2" s="30">
        <v>17.676085284280902</v>
      </c>
      <c r="J2" s="14">
        <v>48.0199</v>
      </c>
      <c r="K2" s="15">
        <v>0.3533</v>
      </c>
    </row>
    <row r="3" spans="1:11" ht="14.45" customHeight="1" thickBot="1">
      <c r="A3" s="21"/>
      <c r="B3" s="20"/>
      <c r="C3" s="22"/>
      <c r="D3" s="23"/>
      <c r="E3" s="25"/>
      <c r="F3" s="26"/>
      <c r="G3" s="39"/>
      <c r="H3" s="29"/>
      <c r="I3" s="30"/>
      <c r="J3" s="16"/>
      <c r="K3" s="17"/>
    </row>
    <row r="4" spans="1:11">
      <c r="A4" s="21" t="s">
        <v>11</v>
      </c>
      <c r="B4" s="19"/>
      <c r="C4" s="22">
        <v>45447</v>
      </c>
      <c r="D4" s="23">
        <v>0.40277777777777779</v>
      </c>
      <c r="E4" s="40">
        <f>(D4-$D$2)*24</f>
        <v>0.5166666666666675</v>
      </c>
      <c r="F4" s="26">
        <v>25</v>
      </c>
      <c r="G4" s="39">
        <v>5.55</v>
      </c>
      <c r="H4" s="29">
        <v>0</v>
      </c>
      <c r="I4" s="30">
        <v>16.8887611336032</v>
      </c>
      <c r="J4" s="14">
        <v>46.366500000000002</v>
      </c>
      <c r="K4" s="15">
        <v>1.7847</v>
      </c>
    </row>
    <row r="5" spans="1:11" ht="14.45" customHeight="1" thickBot="1">
      <c r="A5" s="21"/>
      <c r="B5" s="20"/>
      <c r="C5" s="22"/>
      <c r="D5" s="23"/>
      <c r="E5" s="40"/>
      <c r="F5" s="26"/>
      <c r="G5" s="39"/>
      <c r="H5" s="29"/>
      <c r="I5" s="30"/>
      <c r="J5" s="11"/>
      <c r="K5" s="13"/>
    </row>
    <row r="6" spans="1:11" ht="14.45" customHeight="1">
      <c r="A6" s="32" t="s">
        <v>12</v>
      </c>
      <c r="B6" s="19"/>
      <c r="C6" s="22">
        <v>45447</v>
      </c>
      <c r="D6" s="23">
        <v>0.4284722222222222</v>
      </c>
      <c r="E6" s="25">
        <f>(D6-$D$2)*24</f>
        <v>1.1333333333333333</v>
      </c>
      <c r="F6" s="26">
        <v>25</v>
      </c>
      <c r="G6" s="39">
        <v>5.26</v>
      </c>
      <c r="H6" s="29">
        <v>0</v>
      </c>
      <c r="I6" s="30">
        <v>16.705896226415099</v>
      </c>
      <c r="J6" s="14">
        <v>42.115200000000002</v>
      </c>
      <c r="K6" s="15">
        <v>3.8435000000000001</v>
      </c>
    </row>
    <row r="7" spans="1:11" ht="14.45" customHeight="1" thickBot="1">
      <c r="A7" s="21"/>
      <c r="B7" s="20"/>
      <c r="C7" s="22"/>
      <c r="D7" s="23"/>
      <c r="E7" s="25"/>
      <c r="F7" s="26"/>
      <c r="G7" s="39"/>
      <c r="H7" s="29"/>
      <c r="I7" s="30"/>
      <c r="J7" s="11"/>
      <c r="K7" s="13"/>
    </row>
    <row r="8" spans="1:11" ht="14.45" customHeight="1">
      <c r="A8" s="21" t="s">
        <v>13</v>
      </c>
      <c r="B8" s="19"/>
      <c r="C8" s="22">
        <v>45447</v>
      </c>
      <c r="D8" s="23">
        <v>0.45</v>
      </c>
      <c r="E8" s="25">
        <f>(D8-$D$2)*24</f>
        <v>1.6500000000000008</v>
      </c>
      <c r="F8" s="26">
        <v>25</v>
      </c>
      <c r="G8" s="39">
        <v>5.74</v>
      </c>
      <c r="H8" s="29">
        <v>0</v>
      </c>
      <c r="I8" s="30">
        <v>18.2464484375</v>
      </c>
      <c r="J8" s="14">
        <v>38.136299999999999</v>
      </c>
      <c r="K8" s="15">
        <v>5.8501000000000003</v>
      </c>
    </row>
    <row r="9" spans="1:11" ht="14.45" customHeight="1" thickBot="1">
      <c r="A9" s="21"/>
      <c r="B9" s="20"/>
      <c r="C9" s="22"/>
      <c r="D9" s="23"/>
      <c r="E9" s="25"/>
      <c r="F9" s="26"/>
      <c r="G9" s="39"/>
      <c r="H9" s="29"/>
      <c r="I9" s="30"/>
      <c r="J9" s="11"/>
      <c r="K9" s="13"/>
    </row>
    <row r="10" spans="1:11" ht="14.45" customHeight="1">
      <c r="A10" s="32" t="s">
        <v>14</v>
      </c>
      <c r="B10" s="19"/>
      <c r="C10" s="22">
        <v>45447</v>
      </c>
      <c r="D10" s="23">
        <v>0.46527777777777779</v>
      </c>
      <c r="E10" s="25">
        <f>(D10-$D$2)*24</f>
        <v>2.0166666666666675</v>
      </c>
      <c r="F10" s="26">
        <v>25</v>
      </c>
      <c r="G10" s="39">
        <v>5.0599999999999996</v>
      </c>
      <c r="H10" s="29">
        <v>0</v>
      </c>
      <c r="I10" s="30">
        <v>18.807464824120601</v>
      </c>
      <c r="J10" s="14">
        <v>36.777500000000003</v>
      </c>
      <c r="K10" s="15">
        <v>7.5354000000000001</v>
      </c>
    </row>
    <row r="11" spans="1:11" ht="14.45" customHeight="1" thickBot="1">
      <c r="A11" s="21"/>
      <c r="B11" s="20"/>
      <c r="C11" s="22"/>
      <c r="D11" s="23"/>
      <c r="E11" s="25"/>
      <c r="F11" s="26"/>
      <c r="G11" s="39"/>
      <c r="H11" s="29"/>
      <c r="I11" s="30"/>
      <c r="J11" s="11"/>
      <c r="K11" s="13"/>
    </row>
    <row r="12" spans="1:11" ht="14.45" customHeight="1">
      <c r="A12" s="21" t="s">
        <v>15</v>
      </c>
      <c r="B12" s="19"/>
      <c r="C12" s="22">
        <v>45447</v>
      </c>
      <c r="D12" s="23">
        <v>0.48749999999999999</v>
      </c>
      <c r="E12" s="25">
        <f>(D12-$D$2)*24</f>
        <v>2.5500000000000003</v>
      </c>
      <c r="F12" s="26">
        <v>25</v>
      </c>
      <c r="G12" s="39">
        <v>4.9400000000000004</v>
      </c>
      <c r="H12" s="29">
        <v>0</v>
      </c>
      <c r="I12" s="30">
        <v>24.111285266457699</v>
      </c>
      <c r="J12" s="14">
        <v>31.149100000000001</v>
      </c>
      <c r="K12" s="15">
        <v>9.7391000000000005</v>
      </c>
    </row>
    <row r="13" spans="1:11" ht="14.45" customHeight="1" thickBot="1">
      <c r="A13" s="21"/>
      <c r="B13" s="20"/>
      <c r="C13" s="22"/>
      <c r="D13" s="23"/>
      <c r="E13" s="25"/>
      <c r="F13" s="26"/>
      <c r="G13" s="39"/>
      <c r="H13" s="29"/>
      <c r="I13" s="30"/>
      <c r="J13" s="11"/>
      <c r="K13" s="13"/>
    </row>
    <row r="14" spans="1:11" ht="14.45" customHeight="1">
      <c r="A14" s="32" t="s">
        <v>16</v>
      </c>
      <c r="B14" s="19"/>
      <c r="C14" s="22">
        <v>45447</v>
      </c>
      <c r="D14" s="23">
        <v>0.50624999999999998</v>
      </c>
      <c r="E14" s="25">
        <f>(D14-$D$2)*24</f>
        <v>3</v>
      </c>
      <c r="F14" s="26">
        <v>25</v>
      </c>
      <c r="G14" s="39">
        <v>4.84</v>
      </c>
      <c r="H14" s="29">
        <v>0</v>
      </c>
      <c r="I14" s="30">
        <v>20.331633945535099</v>
      </c>
      <c r="J14" s="14">
        <v>29.319199999999999</v>
      </c>
      <c r="K14" s="15">
        <v>14.3817</v>
      </c>
    </row>
    <row r="15" spans="1:11" ht="14.45" customHeight="1" thickBot="1">
      <c r="A15" s="21"/>
      <c r="B15" s="20"/>
      <c r="C15" s="22"/>
      <c r="D15" s="23"/>
      <c r="E15" s="25"/>
      <c r="F15" s="26"/>
      <c r="G15" s="39"/>
      <c r="H15" s="29"/>
      <c r="I15" s="30"/>
      <c r="J15" s="11"/>
      <c r="K15" s="13"/>
    </row>
    <row r="16" spans="1:11" ht="14.45" customHeight="1">
      <c r="A16" s="21" t="s">
        <v>17</v>
      </c>
      <c r="B16" s="19"/>
      <c r="C16" s="22">
        <v>45447</v>
      </c>
      <c r="D16" s="23">
        <v>0.52708333333333335</v>
      </c>
      <c r="E16" s="25">
        <f>(D16-$D$2)*24</f>
        <v>3.5000000000000009</v>
      </c>
      <c r="F16" s="26">
        <v>25</v>
      </c>
      <c r="G16" s="39">
        <v>4.75</v>
      </c>
      <c r="H16" s="29">
        <v>0</v>
      </c>
      <c r="I16" s="30">
        <v>20.6802195325543</v>
      </c>
      <c r="J16" s="14">
        <v>19.0215</v>
      </c>
      <c r="K16" s="15">
        <v>14.717499999999999</v>
      </c>
    </row>
    <row r="17" spans="1:11" ht="14.45" customHeight="1" thickBot="1">
      <c r="A17" s="21"/>
      <c r="B17" s="20"/>
      <c r="C17" s="22"/>
      <c r="D17" s="23"/>
      <c r="E17" s="25"/>
      <c r="F17" s="26"/>
      <c r="G17" s="39"/>
      <c r="H17" s="29"/>
      <c r="I17" s="30"/>
      <c r="J17" s="11"/>
      <c r="K17" s="13"/>
    </row>
    <row r="18" spans="1:11" ht="14.45" customHeight="1">
      <c r="A18" s="32" t="s">
        <v>18</v>
      </c>
      <c r="B18" s="19"/>
      <c r="C18" s="22">
        <v>45447</v>
      </c>
      <c r="D18" s="23">
        <v>0.55069444444444449</v>
      </c>
      <c r="E18" s="25">
        <f>(D18-$D$2)*24</f>
        <v>4.0666666666666682</v>
      </c>
      <c r="F18" s="26">
        <v>25</v>
      </c>
      <c r="G18" s="27">
        <v>4.6399999999999997</v>
      </c>
      <c r="H18" s="29">
        <v>0</v>
      </c>
      <c r="I18" s="30">
        <v>22.854220260222998</v>
      </c>
      <c r="J18" s="14">
        <v>10.1396</v>
      </c>
      <c r="K18" s="15">
        <v>19.093699999999998</v>
      </c>
    </row>
    <row r="19" spans="1:11" ht="14.45" customHeight="1" thickBot="1">
      <c r="A19" s="21"/>
      <c r="B19" s="20"/>
      <c r="C19" s="22"/>
      <c r="D19" s="23"/>
      <c r="E19" s="25"/>
      <c r="F19" s="26"/>
      <c r="G19" s="28"/>
      <c r="H19" s="29"/>
      <c r="I19" s="30"/>
      <c r="J19" s="11"/>
      <c r="K19" s="13"/>
    </row>
    <row r="20" spans="1:11" ht="14.45" customHeight="1">
      <c r="A20" s="21" t="s">
        <v>19</v>
      </c>
      <c r="B20" s="19"/>
      <c r="C20" s="22">
        <v>45447</v>
      </c>
      <c r="D20" s="23">
        <v>0.57222222222222219</v>
      </c>
      <c r="E20" s="25">
        <f>(D20-$D$2)*24</f>
        <v>4.583333333333333</v>
      </c>
      <c r="F20" s="26">
        <v>25</v>
      </c>
      <c r="G20" s="27">
        <v>4.5599999999999996</v>
      </c>
      <c r="H20" s="29">
        <v>0</v>
      </c>
      <c r="I20" s="30">
        <v>25.3006787564767</v>
      </c>
      <c r="J20" s="14">
        <v>2.8841999999999999</v>
      </c>
      <c r="K20" s="15">
        <v>22.4361</v>
      </c>
    </row>
    <row r="21" spans="1:11" ht="14.45" customHeight="1" thickBot="1">
      <c r="A21" s="21"/>
      <c r="B21" s="20"/>
      <c r="C21" s="22"/>
      <c r="D21" s="23"/>
      <c r="E21" s="25"/>
      <c r="F21" s="26"/>
      <c r="G21" s="28"/>
      <c r="H21" s="29"/>
      <c r="I21" s="30"/>
      <c r="J21" s="11"/>
      <c r="K21" s="13"/>
    </row>
    <row r="22" spans="1:11" ht="14.45" customHeight="1">
      <c r="A22" s="32" t="s">
        <v>20</v>
      </c>
      <c r="B22" s="19"/>
      <c r="C22" s="22">
        <v>45447</v>
      </c>
      <c r="D22" s="23">
        <v>0.59513888888888888</v>
      </c>
      <c r="E22" s="25">
        <f>(D22-$D$2)*24</f>
        <v>5.1333333333333337</v>
      </c>
      <c r="F22" s="26">
        <v>25</v>
      </c>
      <c r="G22" s="27">
        <v>4.55</v>
      </c>
      <c r="H22" s="29">
        <v>0</v>
      </c>
      <c r="I22" s="30">
        <v>25.7438711151737</v>
      </c>
      <c r="J22" s="14" t="s">
        <v>21</v>
      </c>
      <c r="K22" s="15">
        <v>25.5106</v>
      </c>
    </row>
    <row r="23" spans="1:11" ht="14.45" customHeight="1" thickBot="1">
      <c r="A23" s="21"/>
      <c r="B23" s="20"/>
      <c r="C23" s="22"/>
      <c r="D23" s="23"/>
      <c r="E23" s="25"/>
      <c r="F23" s="26"/>
      <c r="G23" s="28"/>
      <c r="H23" s="29"/>
      <c r="I23" s="30"/>
      <c r="J23" s="11"/>
      <c r="K23" s="13"/>
    </row>
    <row r="24" spans="1:11" ht="14.45" customHeight="1">
      <c r="A24" s="21" t="s">
        <v>22</v>
      </c>
      <c r="B24" s="19"/>
      <c r="C24" s="22">
        <v>45447</v>
      </c>
      <c r="D24" s="23">
        <v>0.6118055555555556</v>
      </c>
      <c r="E24" s="25">
        <f>(D24-$D$2)*24</f>
        <v>5.533333333333335</v>
      </c>
      <c r="F24" s="26">
        <v>25</v>
      </c>
      <c r="G24" s="27">
        <v>4.58</v>
      </c>
      <c r="H24" s="29">
        <v>0</v>
      </c>
      <c r="I24" s="30">
        <v>25.344153452685401</v>
      </c>
      <c r="J24" s="14" t="s">
        <v>21</v>
      </c>
      <c r="K24" s="15">
        <v>23.8689</v>
      </c>
    </row>
    <row r="25" spans="1:11" ht="14.45" customHeight="1" thickBot="1">
      <c r="A25" s="21"/>
      <c r="B25" s="20"/>
      <c r="C25" s="22"/>
      <c r="D25" s="23"/>
      <c r="E25" s="25"/>
      <c r="F25" s="26"/>
      <c r="G25" s="28"/>
      <c r="H25" s="29"/>
      <c r="I25" s="30"/>
      <c r="J25" s="11"/>
      <c r="K25" s="13"/>
    </row>
    <row r="26" spans="1:11" ht="14.45" customHeight="1">
      <c r="A26" s="32" t="s">
        <v>23</v>
      </c>
      <c r="B26" s="19"/>
      <c r="C26" s="22">
        <v>45447</v>
      </c>
      <c r="D26" s="23">
        <v>0.63263888888888886</v>
      </c>
      <c r="E26" s="25">
        <f>(D26-$D$2)*24</f>
        <v>6.0333333333333332</v>
      </c>
      <c r="F26" s="26">
        <v>25</v>
      </c>
      <c r="G26" s="27">
        <v>4.5999999999999996</v>
      </c>
      <c r="H26" s="29">
        <v>0</v>
      </c>
      <c r="I26" s="38">
        <v>25.298758904109601</v>
      </c>
      <c r="J26" s="14" t="s">
        <v>21</v>
      </c>
      <c r="K26" s="15">
        <v>24.196899999999999</v>
      </c>
    </row>
    <row r="27" spans="1:11" ht="14.45" customHeight="1" thickBot="1">
      <c r="A27" s="21"/>
      <c r="B27" s="20"/>
      <c r="C27" s="22"/>
      <c r="D27" s="23"/>
      <c r="E27" s="25"/>
      <c r="F27" s="26"/>
      <c r="G27" s="28"/>
      <c r="H27" s="29"/>
      <c r="I27" s="38"/>
      <c r="J27" s="11"/>
      <c r="K27" s="13"/>
    </row>
    <row r="28" spans="1:11" ht="14.45" customHeight="1">
      <c r="A28" s="21" t="s">
        <v>24</v>
      </c>
      <c r="B28" s="19"/>
      <c r="C28" s="22">
        <v>45447</v>
      </c>
      <c r="D28" s="23">
        <v>0.6479166666666667</v>
      </c>
      <c r="E28" s="25">
        <f>(D28-$D$2)*24</f>
        <v>6.4000000000000012</v>
      </c>
      <c r="F28" s="26">
        <v>25</v>
      </c>
      <c r="G28" s="27">
        <v>4.6100000000000003</v>
      </c>
      <c r="H28" s="29">
        <v>0</v>
      </c>
      <c r="I28" s="30">
        <v>25.810603204524</v>
      </c>
      <c r="J28" s="14" t="s">
        <v>21</v>
      </c>
      <c r="K28" s="15">
        <v>24.196899999999999</v>
      </c>
    </row>
    <row r="29" spans="1:11" ht="14.45" customHeight="1" thickBot="1">
      <c r="A29" s="21"/>
      <c r="B29" s="20"/>
      <c r="C29" s="22"/>
      <c r="D29" s="23"/>
      <c r="E29" s="25"/>
      <c r="F29" s="26"/>
      <c r="G29" s="28"/>
      <c r="H29" s="29"/>
      <c r="I29" s="30"/>
      <c r="J29" s="11"/>
      <c r="K29" s="13"/>
    </row>
    <row r="30" spans="1:11" ht="14.45" customHeight="1">
      <c r="A30" s="35" t="s">
        <v>25</v>
      </c>
      <c r="B30" s="19"/>
      <c r="C30" s="22">
        <v>45447</v>
      </c>
      <c r="D30" s="36">
        <v>0.67083333333333328</v>
      </c>
      <c r="E30" s="25">
        <f>(D30-$D$2)*24</f>
        <v>6.9499999999999993</v>
      </c>
      <c r="F30" s="26">
        <v>25</v>
      </c>
      <c r="G30" s="27">
        <v>4.62</v>
      </c>
      <c r="H30" s="29">
        <v>0</v>
      </c>
      <c r="I30" s="37">
        <v>26.277067463706199</v>
      </c>
      <c r="J30" s="10" t="s">
        <v>21</v>
      </c>
      <c r="K30" s="12">
        <v>23.965399999999999</v>
      </c>
    </row>
    <row r="31" spans="1:11" ht="14.45" customHeight="1" thickBot="1">
      <c r="A31" s="21"/>
      <c r="B31" s="20"/>
      <c r="C31" s="22"/>
      <c r="D31" s="23"/>
      <c r="E31" s="25"/>
      <c r="F31" s="26"/>
      <c r="G31" s="28"/>
      <c r="H31" s="29"/>
      <c r="I31" s="38"/>
      <c r="J31" s="11"/>
      <c r="K31" s="13"/>
    </row>
    <row r="32" spans="1:11" ht="14.45" customHeight="1">
      <c r="A32" s="21" t="s">
        <v>26</v>
      </c>
      <c r="B32" s="19"/>
      <c r="C32" s="22">
        <v>45447</v>
      </c>
      <c r="D32" s="23">
        <v>0.69027777777777777</v>
      </c>
      <c r="E32" s="25">
        <f>(D32-$D$2)*24</f>
        <v>7.416666666666667</v>
      </c>
      <c r="F32" s="26">
        <v>25</v>
      </c>
      <c r="G32" s="27">
        <v>4.62</v>
      </c>
      <c r="H32" s="29">
        <v>0</v>
      </c>
      <c r="I32" s="30">
        <v>26.164039391226499</v>
      </c>
      <c r="J32" s="14" t="s">
        <v>21</v>
      </c>
      <c r="K32" s="15">
        <v>24.125900000000001</v>
      </c>
    </row>
    <row r="33" spans="1:11" ht="15.75" thickBot="1">
      <c r="A33" s="21"/>
      <c r="B33" s="20"/>
      <c r="C33" s="22"/>
      <c r="D33" s="24"/>
      <c r="E33" s="25"/>
      <c r="F33" s="26"/>
      <c r="G33" s="28"/>
      <c r="H33" s="29"/>
      <c r="I33" s="31"/>
      <c r="J33" s="11"/>
      <c r="K33" s="18"/>
    </row>
    <row r="35" spans="1:11">
      <c r="D35" s="9"/>
    </row>
  </sheetData>
  <mergeCells count="145">
    <mergeCell ref="D22:D23"/>
    <mergeCell ref="E22:E23"/>
    <mergeCell ref="F22:F23"/>
    <mergeCell ref="G22:G23"/>
    <mergeCell ref="H22:H23"/>
    <mergeCell ref="I22:I23"/>
    <mergeCell ref="A28:A29"/>
    <mergeCell ref="C28:C29"/>
    <mergeCell ref="D28:D29"/>
    <mergeCell ref="E28:E29"/>
    <mergeCell ref="F28:F29"/>
    <mergeCell ref="G28:G29"/>
    <mergeCell ref="H28:H29"/>
    <mergeCell ref="I28:I29"/>
    <mergeCell ref="A26:A27"/>
    <mergeCell ref="C26:C27"/>
    <mergeCell ref="D26:D27"/>
    <mergeCell ref="E26:E27"/>
    <mergeCell ref="F26:F27"/>
    <mergeCell ref="G26:G27"/>
    <mergeCell ref="H26:H27"/>
    <mergeCell ref="I26:I27"/>
    <mergeCell ref="A14:A15"/>
    <mergeCell ref="C14:C15"/>
    <mergeCell ref="D14:D15"/>
    <mergeCell ref="E14:E15"/>
    <mergeCell ref="F14:F15"/>
    <mergeCell ref="G14:G15"/>
    <mergeCell ref="H14:H15"/>
    <mergeCell ref="I14:I15"/>
    <mergeCell ref="A24:A25"/>
    <mergeCell ref="C24:C25"/>
    <mergeCell ref="D24:D25"/>
    <mergeCell ref="E24:E25"/>
    <mergeCell ref="F24:F25"/>
    <mergeCell ref="G24:G25"/>
    <mergeCell ref="H24:H25"/>
    <mergeCell ref="I24:I25"/>
    <mergeCell ref="A16:A17"/>
    <mergeCell ref="C16:C17"/>
    <mergeCell ref="D16:D17"/>
    <mergeCell ref="E16:E17"/>
    <mergeCell ref="F16:F17"/>
    <mergeCell ref="G16:G17"/>
    <mergeCell ref="H16:H17"/>
    <mergeCell ref="I16:I17"/>
    <mergeCell ref="A12:A13"/>
    <mergeCell ref="C12:C13"/>
    <mergeCell ref="D12:D13"/>
    <mergeCell ref="E12:E13"/>
    <mergeCell ref="F12:F13"/>
    <mergeCell ref="G12:G13"/>
    <mergeCell ref="H12:H13"/>
    <mergeCell ref="I12:I13"/>
    <mergeCell ref="I10:I11"/>
    <mergeCell ref="A8:A9"/>
    <mergeCell ref="C8:C9"/>
    <mergeCell ref="D8:D9"/>
    <mergeCell ref="E8:E9"/>
    <mergeCell ref="F8:F9"/>
    <mergeCell ref="G8:G9"/>
    <mergeCell ref="H8:H9"/>
    <mergeCell ref="I8:I9"/>
    <mergeCell ref="G10:G11"/>
    <mergeCell ref="H10:H11"/>
    <mergeCell ref="D6:D7"/>
    <mergeCell ref="E6:E7"/>
    <mergeCell ref="F6:F7"/>
    <mergeCell ref="G6:G7"/>
    <mergeCell ref="H6:H7"/>
    <mergeCell ref="I6:I7"/>
    <mergeCell ref="A4:A5"/>
    <mergeCell ref="C4:C5"/>
    <mergeCell ref="D4:D5"/>
    <mergeCell ref="E4:E5"/>
    <mergeCell ref="F4:F5"/>
    <mergeCell ref="G4:G5"/>
    <mergeCell ref="H4:H5"/>
    <mergeCell ref="I4:I5"/>
    <mergeCell ref="A1:B1"/>
    <mergeCell ref="A30:A31"/>
    <mergeCell ref="C30:C31"/>
    <mergeCell ref="D30:D31"/>
    <mergeCell ref="E30:E31"/>
    <mergeCell ref="F30:F31"/>
    <mergeCell ref="G30:G31"/>
    <mergeCell ref="H30:H31"/>
    <mergeCell ref="I30:I31"/>
    <mergeCell ref="A2:A3"/>
    <mergeCell ref="C2:C3"/>
    <mergeCell ref="D2:D3"/>
    <mergeCell ref="E2:E3"/>
    <mergeCell ref="F2:F3"/>
    <mergeCell ref="G2:G3"/>
    <mergeCell ref="H2:H3"/>
    <mergeCell ref="I2:I3"/>
    <mergeCell ref="A10:A11"/>
    <mergeCell ref="C10:C11"/>
    <mergeCell ref="D10:D11"/>
    <mergeCell ref="E10:E11"/>
    <mergeCell ref="F10:F11"/>
    <mergeCell ref="A6:A7"/>
    <mergeCell ref="C6:C7"/>
    <mergeCell ref="D32:D33"/>
    <mergeCell ref="E32:E33"/>
    <mergeCell ref="F32:F33"/>
    <mergeCell ref="G32:G33"/>
    <mergeCell ref="H32:H33"/>
    <mergeCell ref="I32:I33"/>
    <mergeCell ref="A18:A19"/>
    <mergeCell ref="C18:C19"/>
    <mergeCell ref="D18:D19"/>
    <mergeCell ref="E18:E19"/>
    <mergeCell ref="F18:F19"/>
    <mergeCell ref="G18:G19"/>
    <mergeCell ref="H18:H19"/>
    <mergeCell ref="I18:I19"/>
    <mergeCell ref="A20:A21"/>
    <mergeCell ref="C20:C21"/>
    <mergeCell ref="D20:D21"/>
    <mergeCell ref="E20:E21"/>
    <mergeCell ref="F20:F21"/>
    <mergeCell ref="G20:G21"/>
    <mergeCell ref="H20:H21"/>
    <mergeCell ref="I20:I21"/>
    <mergeCell ref="A22:A23"/>
    <mergeCell ref="C22:C23"/>
    <mergeCell ref="B20:B21"/>
    <mergeCell ref="B22:B23"/>
    <mergeCell ref="B24:B25"/>
    <mergeCell ref="B26:B27"/>
    <mergeCell ref="B28:B29"/>
    <mergeCell ref="B30:B31"/>
    <mergeCell ref="B32:B33"/>
    <mergeCell ref="A32:A33"/>
    <mergeCell ref="C32:C33"/>
    <mergeCell ref="B2:B3"/>
    <mergeCell ref="B4:B5"/>
    <mergeCell ref="B6:B7"/>
    <mergeCell ref="B8:B9"/>
    <mergeCell ref="B10:B11"/>
    <mergeCell ref="B12:B13"/>
    <mergeCell ref="B14:B15"/>
    <mergeCell ref="B16:B17"/>
    <mergeCell ref="B18:B19"/>
  </mergeCells>
  <phoneticPr fontId="7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C7083F7AC52C4FAA0653BBC449678E" ma:contentTypeVersion="8" ma:contentTypeDescription="Create a new document." ma:contentTypeScope="" ma:versionID="76f7e5543021dfd9ad8426a1ac1bd880">
  <xsd:schema xmlns:xsd="http://www.w3.org/2001/XMLSchema" xmlns:xs="http://www.w3.org/2001/XMLSchema" xmlns:p="http://schemas.microsoft.com/office/2006/metadata/properties" xmlns:ns2="5288e161-2da4-4d10-8afc-8f3665e5f060" targetNamespace="http://schemas.microsoft.com/office/2006/metadata/properties" ma:root="true" ma:fieldsID="b7d7fcd7666206cb7563f349fe2c4bd8" ns2:_="">
    <xsd:import namespace="5288e161-2da4-4d10-8afc-8f3665e5f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88e161-2da4-4d10-8afc-8f3665e5f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AA0D68-9CD1-47B0-868C-80EFC47941EB}">
  <ds:schemaRefs>
    <ds:schemaRef ds:uri="http://schemas.microsoft.com/office/2006/metadata/properties"/>
    <ds:schemaRef ds:uri="http://schemas.microsoft.com/office/infopath/2007/PartnerControls"/>
    <ds:schemaRef ds:uri="8bdbcc16-d103-4db5-aa00-3eeb299a7140"/>
    <ds:schemaRef ds:uri="666777e8-f9e5-47de-8685-1e300ad78ef4"/>
  </ds:schemaRefs>
</ds:datastoreItem>
</file>

<file path=customXml/itemProps2.xml><?xml version="1.0" encoding="utf-8"?>
<ds:datastoreItem xmlns:ds="http://schemas.openxmlformats.org/officeDocument/2006/customXml" ds:itemID="{CB8B62F7-6478-413F-BA26-A18A393D914F}"/>
</file>

<file path=customXml/itemProps3.xml><?xml version="1.0" encoding="utf-8"?>
<ds:datastoreItem xmlns:ds="http://schemas.openxmlformats.org/officeDocument/2006/customXml" ds:itemID="{202073CF-A8A5-40FB-A16A-59B8A0975D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annec</dc:creator>
  <cp:keywords/>
  <dc:description/>
  <cp:lastModifiedBy>Cedric Guerin</cp:lastModifiedBy>
  <cp:revision/>
  <dcterms:created xsi:type="dcterms:W3CDTF">2022-06-10T07:36:19Z</dcterms:created>
  <dcterms:modified xsi:type="dcterms:W3CDTF">2025-05-26T12:53:41Z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0x010100C6C7083F7AC52C4FAA0653BBC449678E</vt:lpwstr>
  </property>
</Properties>
</file>