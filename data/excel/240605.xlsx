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c.guerin\Documents\Projets\2025\EI ST4\Donnees historiques\Donnees J2\"/>
    </mc:Choice>
  </mc:AlternateContent>
  <xr:revisionPtr revIDLastSave="30" documentId="13_ncr:1_{072A5B07-B660-4B13-9035-A19735944FB0}" xr6:coauthVersionLast="47" xr6:coauthVersionMax="47" xr10:uidLastSave="{1FD8C3F9-4EC1-4542-BD6B-0C773EC77A68}"/>
  <bookViews>
    <workbookView xWindow="-120" yWindow="-120" windowWidth="38640" windowHeight="21240" xr2:uid="{3DDA2BC8-ED91-4139-A628-7FA1339DA6A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" i="1"/>
  <c r="I22" i="1"/>
  <c r="I20" i="1"/>
  <c r="I18" i="1"/>
  <c r="I16" i="1"/>
  <c r="I14" i="1"/>
  <c r="I12" i="1"/>
  <c r="I10" i="1"/>
  <c r="I8" i="1"/>
  <c r="I6" i="1"/>
  <c r="I4" i="1"/>
  <c r="E24" i="1"/>
  <c r="E22" i="1"/>
  <c r="E20" i="1"/>
  <c r="E18" i="1"/>
  <c r="E16" i="1"/>
  <c r="E14" i="1"/>
  <c r="E12" i="1"/>
  <c r="E10" i="1"/>
  <c r="E8" i="1"/>
  <c r="E6" i="1"/>
  <c r="E2" i="1"/>
  <c r="E4" i="1"/>
</calcChain>
</file>

<file path=xl/sharedStrings.xml><?xml version="1.0" encoding="utf-8"?>
<sst xmlns="http://schemas.openxmlformats.org/spreadsheetml/2006/main" count="35" uniqueCount="35">
  <si>
    <t>Echantillon</t>
  </si>
  <si>
    <t>Date</t>
  </si>
  <si>
    <t>Heure</t>
  </si>
  <si>
    <t>Temps de culture (en h)</t>
  </si>
  <si>
    <t>T°C</t>
  </si>
  <si>
    <t>pH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</si>
  <si>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O2</t>
    </r>
    <r>
      <rPr>
        <b/>
        <sz val="11"/>
        <color theme="1"/>
        <rFont val="Calibri"/>
        <family val="2"/>
        <scheme val="minor"/>
      </rPr>
      <t xml:space="preserve"> dissout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</si>
  <si>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600nm Tot</t>
    </r>
  </si>
  <si>
    <t>Glucose</t>
  </si>
  <si>
    <t>Ethanol</t>
  </si>
  <si>
    <t xml:space="preserve">raman </t>
  </si>
  <si>
    <t>E1</t>
  </si>
  <si>
    <t>240605_EI_Bioreacteur_J2_20240605-091315.spc</t>
  </si>
  <si>
    <t>E2</t>
  </si>
  <si>
    <t>240605_EI_Bioreacteur_J2_20240605-093736.spc</t>
  </si>
  <si>
    <t>E3</t>
  </si>
  <si>
    <t>240605_EI_Bioreacteur_J2_20240605-100156.spc</t>
  </si>
  <si>
    <t>E4</t>
  </si>
  <si>
    <t>240605_EI_Bioreacteur_J2_20240605-103240.spc</t>
  </si>
  <si>
    <t>E5</t>
  </si>
  <si>
    <t>240605_EI_Bioreacteur_J2_20240605-105700.spc</t>
  </si>
  <si>
    <t>E6</t>
  </si>
  <si>
    <t>240605_EI_Bioreacteur_J2_20240605-112121.spc</t>
  </si>
  <si>
    <t>E7</t>
  </si>
  <si>
    <t>240605_EI_Bioreacteur_J2_20240605-115348.spc</t>
  </si>
  <si>
    <t>E8</t>
  </si>
  <si>
    <t>240605_EI_Bioreacteur_J2_20240605-121808.spc</t>
  </si>
  <si>
    <t>E9</t>
  </si>
  <si>
    <t>240605_EI_Bioreacteur_J2_20240605-131456.spc</t>
  </si>
  <si>
    <t>E10</t>
  </si>
  <si>
    <t>240605_EI_Bioreacteur_J2_20240605-133916.spc</t>
  </si>
  <si>
    <t>E11</t>
  </si>
  <si>
    <t>240605_EI_Bioreacteur_J2_20240605-140337.spc</t>
  </si>
  <si>
    <t>E12</t>
  </si>
  <si>
    <t>240605_EI_Bioreacteur_J2_20240605-142757.spc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</si>
</sst>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iberation Sans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1" fillId="0" borderId="0"/>
  </cellStyleXfs>
  <cellXfs count="32">
    <xf numFmtId="0" fontId="0" fillId="0" borderId="0" xfId="0"/>
    <xf numFmtId="0" fontId="3" fillId="0" borderId="3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2" fillId="3" borderId="5" xfId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/>
    <xf numFmtId="164" fontId="1" fillId="3" borderId="16" xfId="3" applyNumberFormat="1" applyFill="1" applyBorder="1" applyAlignment="1">
      <alignment horizontal="center" vertical="center"/>
    </xf>
    <xf numFmtId="164" fontId="1" fillId="3" borderId="14" xfId="3" applyNumberFormat="1" applyFill="1" applyBorder="1" applyAlignment="1">
      <alignment horizontal="center" vertical="center"/>
    </xf>
    <xf numFmtId="164" fontId="1" fillId="4" borderId="8" xfId="3" applyNumberFormat="1" applyFill="1" applyBorder="1" applyAlignment="1">
      <alignment horizontal="center" vertical="center"/>
    </xf>
    <xf numFmtId="164" fontId="1" fillId="4" borderId="9" xfId="3" applyNumberFormat="1" applyFill="1" applyBorder="1" applyAlignment="1">
      <alignment horizontal="center" vertical="center"/>
    </xf>
    <xf numFmtId="0" fontId="1" fillId="3" borderId="14" xfId="3" applyFill="1" applyBorder="1" applyAlignment="1">
      <alignment horizontal="center" vertical="center"/>
    </xf>
    <xf numFmtId="0" fontId="1" fillId="4" borderId="9" xfId="3" applyFill="1" applyBorder="1" applyAlignment="1">
      <alignment horizontal="center" vertical="center"/>
    </xf>
    <xf numFmtId="0" fontId="3" fillId="0" borderId="11" xfId="2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/>
    </xf>
    <xf numFmtId="14" fontId="6" fillId="0" borderId="15" xfId="2" applyNumberFormat="1" applyFont="1" applyBorder="1" applyAlignment="1">
      <alignment horizontal="center" vertical="center"/>
    </xf>
    <xf numFmtId="20" fontId="6" fillId="0" borderId="6" xfId="2" applyNumberFormat="1" applyFont="1" applyBorder="1" applyAlignment="1">
      <alignment horizontal="center" vertical="center"/>
    </xf>
    <xf numFmtId="2" fontId="0" fillId="0" borderId="13" xfId="2" applyNumberFormat="1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164" fontId="1" fillId="5" borderId="10" xfId="2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2" fontId="1" fillId="0" borderId="13" xfId="2" applyNumberFormat="1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</cellXfs>
  <cellStyles count="4">
    <cellStyle name="Insatisfaisant" xfId="1" builtinId="27"/>
    <cellStyle name="Normal" xfId="0" builtinId="0"/>
    <cellStyle name="Normal 2 3" xfId="2" xr:uid="{FD994A10-3FCB-4B69-937B-5B0CCFC1053C}"/>
    <cellStyle name="Normal 43" xfId="3" xr:uid="{B367EB6C-F02B-4F5D-92BB-D4E10857DF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7A23-4E18-4AA3-868F-1EA4E98C7148}">
  <dimension ref="A1:L27"/>
  <sheetViews>
    <sheetView tabSelected="1" topLeftCell="E3" workbookViewId="0">
      <selection activeCell="J27" sqref="J27"/>
    </sheetView>
  </sheetViews>
  <sheetFormatPr defaultColWidth="8.7109375" defaultRowHeight="15"/>
  <cols>
    <col min="1" max="1" width="20.140625" customWidth="1"/>
    <col min="3" max="3" width="10.42578125" bestFit="1" customWidth="1"/>
    <col min="4" max="4" width="8.7109375" bestFit="1" customWidth="1"/>
    <col min="5" max="5" width="10.42578125" bestFit="1" customWidth="1"/>
    <col min="10" max="11" width="8.7109375" style="8"/>
    <col min="12" max="12" width="45.85546875" bestFit="1" customWidth="1"/>
  </cols>
  <sheetData>
    <row r="1" spans="1:12" ht="45">
      <c r="A1" s="16" t="s">
        <v>0</v>
      </c>
      <c r="B1" s="17"/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3" t="s">
        <v>6</v>
      </c>
      <c r="I1" s="5" t="s">
        <v>7</v>
      </c>
      <c r="J1" s="6" t="s">
        <v>8</v>
      </c>
      <c r="K1" s="7" t="s">
        <v>9</v>
      </c>
      <c r="L1" t="s">
        <v>10</v>
      </c>
    </row>
    <row r="2" spans="1:12" ht="14.65" customHeight="1">
      <c r="A2" s="18" t="s">
        <v>11</v>
      </c>
      <c r="B2" s="27"/>
      <c r="C2" s="20">
        <v>45448</v>
      </c>
      <c r="D2" s="21">
        <v>0.37916666666666665</v>
      </c>
      <c r="E2" s="22">
        <f>(D2-$D$2)*24</f>
        <v>0</v>
      </c>
      <c r="F2" s="23">
        <v>25</v>
      </c>
      <c r="G2" s="24">
        <v>6.18</v>
      </c>
      <c r="H2" s="25">
        <v>0</v>
      </c>
      <c r="I2" s="26">
        <f>(6.1828/0.09)*0.207</f>
        <v>14.220440000000002</v>
      </c>
      <c r="J2" s="10">
        <v>39.6907</v>
      </c>
      <c r="K2" s="12">
        <v>0</v>
      </c>
      <c r="L2" t="s">
        <v>12</v>
      </c>
    </row>
    <row r="3" spans="1:12" ht="14.65" customHeight="1">
      <c r="A3" s="19"/>
      <c r="B3" s="28"/>
      <c r="C3" s="20"/>
      <c r="D3" s="21"/>
      <c r="E3" s="22"/>
      <c r="F3" s="23"/>
      <c r="G3" s="24"/>
      <c r="H3" s="25"/>
      <c r="I3" s="26"/>
      <c r="J3" s="14"/>
      <c r="K3" s="15"/>
    </row>
    <row r="4" spans="1:12">
      <c r="A4" s="19" t="s">
        <v>13</v>
      </c>
      <c r="B4" s="27"/>
      <c r="C4" s="20">
        <v>45448</v>
      </c>
      <c r="D4" s="21">
        <v>0.3972222222222222</v>
      </c>
      <c r="E4" s="29">
        <f>(D4-$D$2)*24</f>
        <v>0.43333333333333313</v>
      </c>
      <c r="F4" s="23">
        <v>25</v>
      </c>
      <c r="G4" s="24">
        <v>5.52</v>
      </c>
      <c r="H4" s="25">
        <v>0</v>
      </c>
      <c r="I4" s="26">
        <f>(6.2643/0.1135)*0.263</f>
        <v>14.515514537444934</v>
      </c>
      <c r="J4" s="10">
        <v>38.037799999999997</v>
      </c>
      <c r="K4" s="12">
        <v>1.2597</v>
      </c>
      <c r="L4" t="s">
        <v>14</v>
      </c>
    </row>
    <row r="5" spans="1:12" ht="14.65" customHeight="1">
      <c r="A5" s="19"/>
      <c r="B5" s="28"/>
      <c r="C5" s="20"/>
      <c r="D5" s="21"/>
      <c r="E5" s="29"/>
      <c r="F5" s="23"/>
      <c r="G5" s="24"/>
      <c r="H5" s="25"/>
      <c r="I5" s="26"/>
      <c r="J5" s="11"/>
      <c r="K5" s="13"/>
    </row>
    <row r="6" spans="1:12" ht="14.65" customHeight="1">
      <c r="A6" s="18" t="s">
        <v>15</v>
      </c>
      <c r="B6" s="27"/>
      <c r="C6" s="20">
        <v>45448</v>
      </c>
      <c r="D6" s="21">
        <v>0.41736111111111113</v>
      </c>
      <c r="E6" s="22">
        <f>(D6-$D$2)*24</f>
        <v>0.91666666666666741</v>
      </c>
      <c r="F6" s="23">
        <v>25</v>
      </c>
      <c r="G6" s="24">
        <v>5.25</v>
      </c>
      <c r="H6" s="25">
        <v>0</v>
      </c>
      <c r="I6" s="26">
        <f>(5.9429/0.123)*0.308</f>
        <v>14.881408130081299</v>
      </c>
      <c r="J6" s="10">
        <v>34.415700000000001</v>
      </c>
      <c r="K6" s="12">
        <v>2.8073999999999999</v>
      </c>
      <c r="L6" t="s">
        <v>16</v>
      </c>
    </row>
    <row r="7" spans="1:12" ht="14.65" customHeight="1">
      <c r="A7" s="19"/>
      <c r="B7" s="28"/>
      <c r="C7" s="20"/>
      <c r="D7" s="21"/>
      <c r="E7" s="22"/>
      <c r="F7" s="23"/>
      <c r="G7" s="24"/>
      <c r="H7" s="25"/>
      <c r="I7" s="26"/>
      <c r="J7" s="11"/>
      <c r="K7" s="13"/>
    </row>
    <row r="8" spans="1:12" ht="14.65" customHeight="1">
      <c r="A8" s="19" t="s">
        <v>17</v>
      </c>
      <c r="B8" s="27"/>
      <c r="C8" s="20">
        <v>45448</v>
      </c>
      <c r="D8" s="21">
        <v>0.43819444444444444</v>
      </c>
      <c r="E8" s="22">
        <f>(D8-$D$2)*24</f>
        <v>1.416666666666667</v>
      </c>
      <c r="F8" s="23">
        <v>25</v>
      </c>
      <c r="G8" s="24">
        <v>5.1100000000000003</v>
      </c>
      <c r="H8" s="25">
        <v>0</v>
      </c>
      <c r="I8" s="26">
        <f>(7.2478/0.1337)*0.278</f>
        <v>15.070219895287957</v>
      </c>
      <c r="J8" s="10">
        <v>33.231699999999996</v>
      </c>
      <c r="K8" s="12">
        <v>4.6204000000000001</v>
      </c>
      <c r="L8" t="s">
        <v>18</v>
      </c>
    </row>
    <row r="9" spans="1:12" ht="14.65" customHeight="1">
      <c r="A9" s="19"/>
      <c r="B9" s="28"/>
      <c r="C9" s="20"/>
      <c r="D9" s="21"/>
      <c r="E9" s="22"/>
      <c r="F9" s="23"/>
      <c r="G9" s="24"/>
      <c r="H9" s="25"/>
      <c r="I9" s="26"/>
      <c r="J9" s="11"/>
      <c r="K9" s="13"/>
    </row>
    <row r="10" spans="1:12" ht="14.65" customHeight="1">
      <c r="A10" s="18" t="s">
        <v>19</v>
      </c>
      <c r="B10" s="27"/>
      <c r="C10" s="20">
        <v>45448</v>
      </c>
      <c r="D10" s="21">
        <v>0.45555555555555555</v>
      </c>
      <c r="E10" s="22">
        <f>(D10-$D$2)*24</f>
        <v>1.8333333333333335</v>
      </c>
      <c r="F10" s="23">
        <v>25</v>
      </c>
      <c r="G10" s="24">
        <v>5.03</v>
      </c>
      <c r="H10" s="25">
        <v>0</v>
      </c>
      <c r="I10" s="26">
        <f>(8.0614/0.1212)*0.24</f>
        <v>15.963168316831682</v>
      </c>
      <c r="J10" s="10">
        <v>28.029399999999999</v>
      </c>
      <c r="K10" s="12">
        <v>5.6904000000000003</v>
      </c>
      <c r="L10" t="s">
        <v>20</v>
      </c>
    </row>
    <row r="11" spans="1:12" ht="14.65" customHeight="1">
      <c r="A11" s="19"/>
      <c r="B11" s="28"/>
      <c r="C11" s="20"/>
      <c r="D11" s="21"/>
      <c r="E11" s="22"/>
      <c r="F11" s="23"/>
      <c r="G11" s="24"/>
      <c r="H11" s="25"/>
      <c r="I11" s="26"/>
      <c r="J11" s="11"/>
      <c r="K11" s="13"/>
    </row>
    <row r="12" spans="1:12" ht="14.65" customHeight="1">
      <c r="A12" s="19" t="s">
        <v>21</v>
      </c>
      <c r="B12" s="27"/>
      <c r="C12" s="20">
        <v>45448</v>
      </c>
      <c r="D12" s="21">
        <v>0.47361111111111109</v>
      </c>
      <c r="E12" s="22">
        <f>(D12-$D$2)*24</f>
        <v>2.2666666666666666</v>
      </c>
      <c r="F12" s="23">
        <v>25</v>
      </c>
      <c r="G12" s="24">
        <v>4.95</v>
      </c>
      <c r="H12" s="25">
        <v>0</v>
      </c>
      <c r="I12" s="26">
        <f>(8.2803/0.1094)*0.217</f>
        <v>16.424361060329066</v>
      </c>
      <c r="J12" s="10">
        <v>23.911100000000001</v>
      </c>
      <c r="K12" s="12">
        <v>7.6062000000000003</v>
      </c>
      <c r="L12" t="s">
        <v>22</v>
      </c>
    </row>
    <row r="13" spans="1:12" ht="14.65" customHeight="1">
      <c r="A13" s="19"/>
      <c r="B13" s="28"/>
      <c r="C13" s="20"/>
      <c r="D13" s="21"/>
      <c r="E13" s="22"/>
      <c r="F13" s="23"/>
      <c r="G13" s="24"/>
      <c r="H13" s="25"/>
      <c r="I13" s="26"/>
      <c r="J13" s="11"/>
      <c r="K13" s="13"/>
    </row>
    <row r="14" spans="1:12" ht="14.65" customHeight="1">
      <c r="A14" s="18" t="s">
        <v>23</v>
      </c>
      <c r="B14" s="27"/>
      <c r="C14" s="20">
        <v>45448</v>
      </c>
      <c r="D14" s="21">
        <v>0.49166666666666664</v>
      </c>
      <c r="E14" s="22">
        <f>(D14-$D$2)*24</f>
        <v>2.6999999999999997</v>
      </c>
      <c r="F14" s="23">
        <v>25</v>
      </c>
      <c r="G14" s="24">
        <v>4.87</v>
      </c>
      <c r="H14" s="25">
        <v>0</v>
      </c>
      <c r="I14" s="26">
        <f>(8.0119/0.1221)*0.263</f>
        <v>17.257409500409501</v>
      </c>
      <c r="J14" s="10">
        <v>19.519300000000001</v>
      </c>
      <c r="K14" s="12">
        <v>9.6934000000000005</v>
      </c>
      <c r="L14" t="s">
        <v>24</v>
      </c>
    </row>
    <row r="15" spans="1:12" ht="14.65" customHeight="1">
      <c r="A15" s="19"/>
      <c r="B15" s="28"/>
      <c r="C15" s="20"/>
      <c r="D15" s="21"/>
      <c r="E15" s="22"/>
      <c r="F15" s="23"/>
      <c r="G15" s="24"/>
      <c r="H15" s="25"/>
      <c r="I15" s="26"/>
      <c r="J15" s="11"/>
      <c r="K15" s="13"/>
    </row>
    <row r="16" spans="1:12" ht="14.65" customHeight="1">
      <c r="A16" s="19" t="s">
        <v>25</v>
      </c>
      <c r="B16" s="27"/>
      <c r="C16" s="20">
        <v>45448</v>
      </c>
      <c r="D16" s="21">
        <v>0.5131944444444444</v>
      </c>
      <c r="E16" s="22">
        <f>(D16-$D$2)*24</f>
        <v>3.2166666666666659</v>
      </c>
      <c r="F16" s="23">
        <v>25</v>
      </c>
      <c r="G16" s="24">
        <v>4.78</v>
      </c>
      <c r="H16" s="25">
        <v>0</v>
      </c>
      <c r="I16" s="26">
        <f>(8.1369/0.124)*0.277</f>
        <v>18.176784677419359</v>
      </c>
      <c r="J16" s="10">
        <v>14.3903</v>
      </c>
      <c r="K16" s="12">
        <v>12.1297</v>
      </c>
      <c r="L16" t="s">
        <v>26</v>
      </c>
    </row>
    <row r="17" spans="1:12" ht="14.65" customHeight="1">
      <c r="A17" s="19"/>
      <c r="B17" s="28"/>
      <c r="C17" s="20"/>
      <c r="D17" s="21"/>
      <c r="E17" s="22"/>
      <c r="F17" s="23"/>
      <c r="G17" s="24"/>
      <c r="H17" s="25"/>
      <c r="I17" s="26"/>
      <c r="J17" s="11"/>
      <c r="K17" s="13"/>
    </row>
    <row r="18" spans="1:12" ht="14.65" customHeight="1">
      <c r="A18" s="18" t="s">
        <v>27</v>
      </c>
      <c r="B18" s="27"/>
      <c r="C18" s="20">
        <v>45448</v>
      </c>
      <c r="D18" s="21">
        <v>0.54861111111111116</v>
      </c>
      <c r="E18" s="22">
        <f>(D18-$D$2)*24</f>
        <v>4.0666666666666682</v>
      </c>
      <c r="F18" s="23">
        <v>25</v>
      </c>
      <c r="G18" s="30">
        <v>4.6399999999999997</v>
      </c>
      <c r="H18" s="25">
        <v>0</v>
      </c>
      <c r="I18" s="26">
        <f>(9.6647/0.1023)*0.217</f>
        <v>20.500878787878786</v>
      </c>
      <c r="J18" s="10">
        <v>3.7606999999999999</v>
      </c>
      <c r="K18" s="12">
        <v>17.2835</v>
      </c>
      <c r="L18" t="s">
        <v>28</v>
      </c>
    </row>
    <row r="19" spans="1:12" ht="14.65" customHeight="1">
      <c r="A19" s="19"/>
      <c r="B19" s="28"/>
      <c r="C19" s="20"/>
      <c r="D19" s="21"/>
      <c r="E19" s="22"/>
      <c r="F19" s="23"/>
      <c r="G19" s="31"/>
      <c r="H19" s="25"/>
      <c r="I19" s="26"/>
      <c r="J19" s="11"/>
      <c r="K19" s="13"/>
    </row>
    <row r="20" spans="1:12" ht="14.65" customHeight="1">
      <c r="A20" s="19" t="s">
        <v>29</v>
      </c>
      <c r="B20" s="27"/>
      <c r="C20" s="20">
        <v>45448</v>
      </c>
      <c r="D20" s="21">
        <v>0.56666666666666665</v>
      </c>
      <c r="E20" s="22">
        <f>(D20-$D$2)*24</f>
        <v>4.5</v>
      </c>
      <c r="F20" s="23">
        <v>25</v>
      </c>
      <c r="G20" s="30">
        <v>4.5999999999999996</v>
      </c>
      <c r="H20" s="25">
        <v>0</v>
      </c>
      <c r="I20" s="26">
        <f>(10.5871/0.1098)*0.223</f>
        <v>21.502033697632061</v>
      </c>
      <c r="J20" s="10">
        <v>0.21510000000000001</v>
      </c>
      <c r="K20" s="12">
        <v>18.961300000000001</v>
      </c>
      <c r="L20" t="s">
        <v>30</v>
      </c>
    </row>
    <row r="21" spans="1:12" ht="14.65" customHeight="1">
      <c r="A21" s="19"/>
      <c r="B21" s="28"/>
      <c r="C21" s="20"/>
      <c r="D21" s="21"/>
      <c r="E21" s="22"/>
      <c r="F21" s="23"/>
      <c r="G21" s="31"/>
      <c r="H21" s="25"/>
      <c r="I21" s="26"/>
      <c r="J21" s="11"/>
      <c r="K21" s="13"/>
    </row>
    <row r="22" spans="1:12" ht="14.65" customHeight="1">
      <c r="A22" s="18" t="s">
        <v>31</v>
      </c>
      <c r="B22" s="27"/>
      <c r="C22" s="20">
        <v>45448</v>
      </c>
      <c r="D22" s="21">
        <v>0.58333333333333337</v>
      </c>
      <c r="E22" s="22">
        <f>(D22-$D$2)*24</f>
        <v>4.9000000000000012</v>
      </c>
      <c r="F22" s="23">
        <v>25</v>
      </c>
      <c r="G22" s="30">
        <v>4.6399999999999997</v>
      </c>
      <c r="H22" s="25">
        <v>0</v>
      </c>
      <c r="I22" s="26">
        <f>(10.2178/0.0989)*0.21</f>
        <v>21.696036400404449</v>
      </c>
      <c r="J22" s="10">
        <v>0</v>
      </c>
      <c r="K22" s="12">
        <v>20.320399999999999</v>
      </c>
      <c r="L22" t="s">
        <v>32</v>
      </c>
    </row>
    <row r="23" spans="1:12" ht="14.65" customHeight="1">
      <c r="A23" s="19"/>
      <c r="B23" s="28"/>
      <c r="C23" s="20"/>
      <c r="D23" s="21"/>
      <c r="E23" s="22"/>
      <c r="F23" s="23"/>
      <c r="G23" s="31"/>
      <c r="H23" s="25"/>
      <c r="I23" s="26"/>
      <c r="J23" s="11"/>
      <c r="K23" s="13"/>
    </row>
    <row r="24" spans="1:12" ht="14.65" customHeight="1">
      <c r="A24" s="19" t="s">
        <v>33</v>
      </c>
      <c r="B24" s="27"/>
      <c r="C24" s="20">
        <v>45448</v>
      </c>
      <c r="D24" s="21">
        <v>0.6020833333333333</v>
      </c>
      <c r="E24" s="22">
        <f>(D24-$D$2)*24</f>
        <v>5.35</v>
      </c>
      <c r="F24" s="23">
        <v>25</v>
      </c>
      <c r="G24" s="30">
        <v>4.66</v>
      </c>
      <c r="H24" s="25">
        <v>0</v>
      </c>
      <c r="I24" s="26">
        <f>(10.8255/0.1029)*0.206</f>
        <v>21.672040816326529</v>
      </c>
      <c r="J24" s="10">
        <v>0</v>
      </c>
      <c r="K24" s="12">
        <v>19.027200000000001</v>
      </c>
      <c r="L24" t="s">
        <v>34</v>
      </c>
    </row>
    <row r="25" spans="1:12" ht="14.65" customHeight="1">
      <c r="A25" s="19"/>
      <c r="B25" s="28"/>
      <c r="C25" s="20"/>
      <c r="D25" s="21"/>
      <c r="E25" s="22"/>
      <c r="F25" s="23"/>
      <c r="G25" s="31"/>
      <c r="H25" s="25"/>
      <c r="I25" s="26"/>
      <c r="J25" s="11"/>
      <c r="K25" s="13"/>
    </row>
    <row r="27" spans="1:12">
      <c r="D27" s="9"/>
    </row>
  </sheetData>
  <mergeCells count="133">
    <mergeCell ref="A24:A25"/>
    <mergeCell ref="C24:C25"/>
    <mergeCell ref="D24:D25"/>
    <mergeCell ref="E24:E25"/>
    <mergeCell ref="F24:F25"/>
    <mergeCell ref="G24:G25"/>
    <mergeCell ref="H24:H25"/>
    <mergeCell ref="I24:I25"/>
    <mergeCell ref="B24:B25"/>
    <mergeCell ref="A20:A21"/>
    <mergeCell ref="C20:C21"/>
    <mergeCell ref="D20:D21"/>
    <mergeCell ref="E20:E21"/>
    <mergeCell ref="F20:F21"/>
    <mergeCell ref="G20:G21"/>
    <mergeCell ref="H20:H21"/>
    <mergeCell ref="I20:I21"/>
    <mergeCell ref="B20:B21"/>
    <mergeCell ref="A22:A23"/>
    <mergeCell ref="C22:C23"/>
    <mergeCell ref="D22:D23"/>
    <mergeCell ref="E22:E23"/>
    <mergeCell ref="F22:F23"/>
    <mergeCell ref="G22:G23"/>
    <mergeCell ref="H22:H23"/>
    <mergeCell ref="I22:I23"/>
    <mergeCell ref="B22:B23"/>
    <mergeCell ref="A16:A17"/>
    <mergeCell ref="C16:C17"/>
    <mergeCell ref="D16:D17"/>
    <mergeCell ref="E16:E17"/>
    <mergeCell ref="F16:F17"/>
    <mergeCell ref="G16:G17"/>
    <mergeCell ref="H16:H17"/>
    <mergeCell ref="I16:I17"/>
    <mergeCell ref="A18:A19"/>
    <mergeCell ref="C18:C19"/>
    <mergeCell ref="D18:D19"/>
    <mergeCell ref="E18:E19"/>
    <mergeCell ref="F18:F19"/>
    <mergeCell ref="G18:G19"/>
    <mergeCell ref="H18:H19"/>
    <mergeCell ref="I18:I19"/>
    <mergeCell ref="B16:B17"/>
    <mergeCell ref="B18:B19"/>
    <mergeCell ref="A12:A13"/>
    <mergeCell ref="C12:C13"/>
    <mergeCell ref="D12:D13"/>
    <mergeCell ref="E12:E13"/>
    <mergeCell ref="F12:F13"/>
    <mergeCell ref="G12:G13"/>
    <mergeCell ref="H12:H13"/>
    <mergeCell ref="I12:I13"/>
    <mergeCell ref="A14:A15"/>
    <mergeCell ref="C14:C15"/>
    <mergeCell ref="D14:D15"/>
    <mergeCell ref="E14:E15"/>
    <mergeCell ref="F14:F15"/>
    <mergeCell ref="G14:G15"/>
    <mergeCell ref="H14:H15"/>
    <mergeCell ref="I14:I15"/>
    <mergeCell ref="B12:B13"/>
    <mergeCell ref="B14:B15"/>
    <mergeCell ref="A4:A5"/>
    <mergeCell ref="C4:C5"/>
    <mergeCell ref="D4:D5"/>
    <mergeCell ref="E4:E5"/>
    <mergeCell ref="F4:F5"/>
    <mergeCell ref="G4:G5"/>
    <mergeCell ref="H4:H5"/>
    <mergeCell ref="I4:I5"/>
    <mergeCell ref="B4:B5"/>
    <mergeCell ref="A6:A7"/>
    <mergeCell ref="C6:C7"/>
    <mergeCell ref="D6:D7"/>
    <mergeCell ref="E6:E7"/>
    <mergeCell ref="F6:F7"/>
    <mergeCell ref="G6:G7"/>
    <mergeCell ref="H6:H7"/>
    <mergeCell ref="I6:I7"/>
    <mergeCell ref="B6:B7"/>
    <mergeCell ref="A10:A11"/>
    <mergeCell ref="C10:C11"/>
    <mergeCell ref="D10:D11"/>
    <mergeCell ref="E10:E11"/>
    <mergeCell ref="F10:F11"/>
    <mergeCell ref="K8:K9"/>
    <mergeCell ref="K12:K13"/>
    <mergeCell ref="J14:J15"/>
    <mergeCell ref="K14:K15"/>
    <mergeCell ref="J10:J11"/>
    <mergeCell ref="K10:K11"/>
    <mergeCell ref="I10:I11"/>
    <mergeCell ref="A8:A9"/>
    <mergeCell ref="C8:C9"/>
    <mergeCell ref="D8:D9"/>
    <mergeCell ref="E8:E9"/>
    <mergeCell ref="F8:F9"/>
    <mergeCell ref="G8:G9"/>
    <mergeCell ref="H8:H9"/>
    <mergeCell ref="I8:I9"/>
    <mergeCell ref="G10:G11"/>
    <mergeCell ref="H10:H11"/>
    <mergeCell ref="B8:B9"/>
    <mergeCell ref="B10:B11"/>
    <mergeCell ref="A1:B1"/>
    <mergeCell ref="A2:A3"/>
    <mergeCell ref="C2:C3"/>
    <mergeCell ref="D2:D3"/>
    <mergeCell ref="E2:E3"/>
    <mergeCell ref="F2:F3"/>
    <mergeCell ref="G2:G3"/>
    <mergeCell ref="H2:H3"/>
    <mergeCell ref="I2:I3"/>
    <mergeCell ref="B2:B3"/>
    <mergeCell ref="J6:J7"/>
    <mergeCell ref="K6:K7"/>
    <mergeCell ref="J2:J3"/>
    <mergeCell ref="K2:K3"/>
    <mergeCell ref="J4:J5"/>
    <mergeCell ref="J8:J9"/>
    <mergeCell ref="J12:J13"/>
    <mergeCell ref="J16:J17"/>
    <mergeCell ref="K4:K5"/>
    <mergeCell ref="J20:J21"/>
    <mergeCell ref="J24:J25"/>
    <mergeCell ref="K16:K17"/>
    <mergeCell ref="J18:J19"/>
    <mergeCell ref="K18:K19"/>
    <mergeCell ref="K20:K21"/>
    <mergeCell ref="J22:J23"/>
    <mergeCell ref="K22:K23"/>
    <mergeCell ref="K24:K25"/>
  </mergeCells>
  <phoneticPr fontId="7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C7083F7AC52C4FAA0653BBC449678E" ma:contentTypeVersion="8" ma:contentTypeDescription="Crée un document." ma:contentTypeScope="" ma:versionID="d2e751f51e8821a3d7bf22271d676f67">
  <xsd:schema xmlns:xsd="http://www.w3.org/2001/XMLSchema" xmlns:xs="http://www.w3.org/2001/XMLSchema" xmlns:p="http://schemas.microsoft.com/office/2006/metadata/properties" xmlns:ns2="5288e161-2da4-4d10-8afc-8f3665e5f060" targetNamespace="http://schemas.microsoft.com/office/2006/metadata/properties" ma:root="true" ma:fieldsID="5a5a0a8c5360be6924f210db3c2beab6" ns2:_="">
    <xsd:import namespace="5288e161-2da4-4d10-8afc-8f3665e5f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8e161-2da4-4d10-8afc-8f3665e5f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6806D2-28AF-4128-9CE0-6AA6D23C73D3}"/>
</file>

<file path=customXml/itemProps2.xml><?xml version="1.0" encoding="utf-8"?>
<ds:datastoreItem xmlns:ds="http://schemas.openxmlformats.org/officeDocument/2006/customXml" ds:itemID="{202073CF-A8A5-40FB-A16A-59B8A0975D77}"/>
</file>

<file path=customXml/itemProps3.xml><?xml version="1.0" encoding="utf-8"?>
<ds:datastoreItem xmlns:ds="http://schemas.openxmlformats.org/officeDocument/2006/customXml" ds:itemID="{73AA0D68-9CD1-47B0-868C-80EFC4794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annec</dc:creator>
  <cp:keywords/>
  <dc:description/>
  <cp:lastModifiedBy>Tom Connery (Student at CentraleSupelec)</cp:lastModifiedBy>
  <cp:revision/>
  <dcterms:created xsi:type="dcterms:W3CDTF">2022-06-10T07:36:19Z</dcterms:created>
  <dcterms:modified xsi:type="dcterms:W3CDTF">2025-06-03T14:53:41Z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0x010100C6C7083F7AC52C4FAA0653BBC449678E</vt:lpwstr>
  </property>
</Properties>
</file>