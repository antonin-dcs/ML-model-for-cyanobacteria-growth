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dric.guerin\Documents\Projets\2025\EI ST4\Donnees EI\Donnees J2\"/>
    </mc:Choice>
  </mc:AlternateContent>
  <xr:revisionPtr revIDLastSave="0" documentId="13_ncr:1_{B706777C-03F5-4F90-9912-CFC828DFDD32}" xr6:coauthVersionLast="47" xr6:coauthVersionMax="47" xr10:uidLastSave="{00000000-0000-0000-0000-000000000000}"/>
  <bookViews>
    <workbookView xWindow="-108" yWindow="-108" windowWidth="23256" windowHeight="12576" xr2:uid="{3DDA2BC8-ED91-4139-A628-7FA1339DA6A1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6" i="1"/>
  <c r="E8" i="1"/>
  <c r="E10" i="1"/>
  <c r="E12" i="1"/>
  <c r="E14" i="1"/>
  <c r="E16" i="1"/>
  <c r="E18" i="1"/>
  <c r="E20" i="1"/>
  <c r="E22" i="1"/>
  <c r="E24" i="1"/>
  <c r="E26" i="1"/>
  <c r="E28" i="1"/>
  <c r="E30" i="1"/>
  <c r="E32" i="1"/>
  <c r="E34" i="1"/>
  <c r="E36" i="1"/>
  <c r="E38" i="1"/>
  <c r="E40" i="1"/>
  <c r="E42" i="1"/>
  <c r="E2" i="1"/>
</calcChain>
</file>

<file path=xl/sharedStrings.xml><?xml version="1.0" encoding="utf-8"?>
<sst xmlns="http://schemas.openxmlformats.org/spreadsheetml/2006/main" count="42" uniqueCount="32">
  <si>
    <t>Echantillon</t>
  </si>
  <si>
    <t>Date</t>
  </si>
  <si>
    <t>Heure</t>
  </si>
  <si>
    <t>Temps de culture (en h)</t>
  </si>
  <si>
    <t>T°C</t>
  </si>
  <si>
    <t>pH</t>
  </si>
  <si>
    <r>
      <t>P</t>
    </r>
    <r>
      <rPr>
        <b/>
        <vertAlign val="subscript"/>
        <sz val="11"/>
        <color theme="1"/>
        <rFont val="Calibri"/>
        <family val="2"/>
        <scheme val="minor"/>
      </rPr>
      <t>O2</t>
    </r>
    <r>
      <rPr>
        <b/>
        <sz val="11"/>
        <color theme="1"/>
        <rFont val="Calibri"/>
        <family val="2"/>
        <scheme val="minor"/>
      </rPr>
      <t xml:space="preserve"> dissout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</si>
  <si>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600nm Tot</t>
    </r>
  </si>
  <si>
    <t>Glucose</t>
  </si>
  <si>
    <t>Ethanol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</si>
  <si>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</si>
  <si>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</si>
  <si>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</si>
  <si>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</si>
  <si>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</si>
  <si>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</si>
  <si>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</si>
  <si>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</si>
  <si>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</si>
  <si>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</si>
  <si>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</si>
  <si>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</si>
  <si>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&lt; 0.2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</si>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</sst>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Liberation Sans"/>
    </font>
    <font>
      <b/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4" fillId="0" borderId="0"/>
    <xf numFmtId="0" fontId="1" fillId="0" borderId="0"/>
  </cellStyleXfs>
  <cellXfs count="32">
    <xf numFmtId="0" fontId="0" fillId="0" borderId="0" xfId="0"/>
    <xf numFmtId="0" fontId="3" fillId="0" borderId="3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0" fontId="2" fillId="3" borderId="5" xfId="1" applyFill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14" fontId="6" fillId="0" borderId="15" xfId="2" applyNumberFormat="1" applyFont="1" applyBorder="1" applyAlignment="1">
      <alignment horizontal="center" vertical="center"/>
    </xf>
    <xf numFmtId="20" fontId="6" fillId="0" borderId="6" xfId="2" applyNumberFormat="1" applyFont="1" applyBorder="1" applyAlignment="1">
      <alignment horizontal="center" vertical="center"/>
    </xf>
    <xf numFmtId="2" fontId="0" fillId="0" borderId="13" xfId="2" applyNumberFormat="1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164" fontId="1" fillId="5" borderId="10" xfId="2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6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/>
    </xf>
    <xf numFmtId="164" fontId="1" fillId="4" borderId="8" xfId="3" applyNumberFormat="1" applyFill="1" applyBorder="1" applyAlignment="1">
      <alignment horizontal="center" vertical="center"/>
    </xf>
    <xf numFmtId="164" fontId="1" fillId="4" borderId="9" xfId="3" applyNumberFormat="1" applyFill="1" applyBorder="1" applyAlignment="1">
      <alignment horizontal="center" vertical="center"/>
    </xf>
    <xf numFmtId="164" fontId="1" fillId="3" borderId="16" xfId="3" applyNumberFormat="1" applyFill="1" applyBorder="1" applyAlignment="1">
      <alignment horizontal="center" vertical="center"/>
    </xf>
    <xf numFmtId="164" fontId="1" fillId="3" borderId="14" xfId="3" applyNumberFormat="1" applyFill="1" applyBorder="1" applyAlignment="1">
      <alignment horizontal="center" vertical="center"/>
    </xf>
    <xf numFmtId="0" fontId="3" fillId="0" borderId="11" xfId="2" applyFont="1" applyBorder="1" applyAlignment="1">
      <alignment horizontal="center" vertical="center" wrapText="1"/>
    </xf>
    <xf numFmtId="0" fontId="3" fillId="0" borderId="12" xfId="2" applyFont="1" applyBorder="1" applyAlignment="1">
      <alignment horizontal="center" vertical="center" wrapText="1"/>
    </xf>
    <xf numFmtId="0" fontId="1" fillId="3" borderId="14" xfId="3" applyFill="1" applyBorder="1" applyAlignment="1">
      <alignment horizontal="center" vertical="center"/>
    </xf>
    <xf numFmtId="0" fontId="1" fillId="4" borderId="9" xfId="3" applyFill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</cellXfs>
  <cellStyles count="4">
    <cellStyle name="Bad" xfId="1" builtinId="27"/>
    <cellStyle name="Normal" xfId="0" builtinId="0"/>
    <cellStyle name="Normal 2 3" xfId="2" xr:uid="{FD994A10-3FCB-4B69-937B-5B0CCFC1053C}"/>
    <cellStyle name="Normal 43" xfId="3" xr:uid="{B367EB6C-F02B-4F5D-92BB-D4E10857DF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7A23-4E18-4AA3-868F-1EA4E98C7148}">
  <dimension ref="A1:K49"/>
  <sheetViews>
    <sheetView tabSelected="1" workbookViewId="0">
      <selection activeCell="E2" sqref="E2:E3"/>
    </sheetView>
  </sheetViews>
  <sheetFormatPr defaultColWidth="8.6640625" defaultRowHeight="14.4"/>
  <cols>
    <col min="1" max="1" width="20.109375" customWidth="1"/>
    <col min="3" max="3" width="10.44140625" bestFit="1" customWidth="1"/>
    <col min="4" max="4" width="8.6640625" bestFit="1" customWidth="1"/>
    <col min="5" max="5" width="10.44140625" bestFit="1" customWidth="1"/>
    <col min="10" max="11" width="8.6640625" style="8"/>
  </cols>
  <sheetData>
    <row r="1" spans="1:11" ht="43.2">
      <c r="A1" s="26" t="s">
        <v>0</v>
      </c>
      <c r="B1" s="27"/>
      <c r="C1" s="1" t="s">
        <v>1</v>
      </c>
      <c r="D1" s="2" t="s">
        <v>2</v>
      </c>
      <c r="E1" s="3" t="s">
        <v>3</v>
      </c>
      <c r="F1" s="4" t="s">
        <v>4</v>
      </c>
      <c r="G1" s="5" t="s">
        <v>5</v>
      </c>
      <c r="H1" s="3" t="s">
        <v>6</v>
      </c>
      <c r="I1" s="5" t="s">
        <v>7</v>
      </c>
      <c r="J1" s="6" t="s">
        <v>8</v>
      </c>
      <c r="K1" s="7" t="s">
        <v>9</v>
      </c>
    </row>
    <row r="2" spans="1:11" ht="14.7" customHeight="1">
      <c r="A2" s="20" t="s">
        <v>10</v>
      </c>
      <c r="B2" s="18"/>
      <c r="C2" s="10">
        <v>45812</v>
      </c>
      <c r="D2" s="11">
        <v>0.38472222222222224</v>
      </c>
      <c r="E2" s="12">
        <f>(D2-$D$2)*24</f>
        <v>0</v>
      </c>
      <c r="F2" s="13">
        <v>25</v>
      </c>
      <c r="G2" s="21">
        <v>6</v>
      </c>
      <c r="H2" s="16">
        <v>0</v>
      </c>
      <c r="I2" s="17">
        <v>14.109500000000001</v>
      </c>
      <c r="J2" s="24">
        <v>34.545000000000002</v>
      </c>
      <c r="K2" s="22">
        <v>1.4523999999999999</v>
      </c>
    </row>
    <row r="3" spans="1:11" ht="14.7" customHeight="1" thickBot="1">
      <c r="A3" s="9"/>
      <c r="B3" s="19"/>
      <c r="C3" s="10"/>
      <c r="D3" s="11"/>
      <c r="E3" s="12"/>
      <c r="F3" s="13"/>
      <c r="G3" s="21"/>
      <c r="H3" s="16"/>
      <c r="I3" s="17"/>
      <c r="J3" s="28"/>
      <c r="K3" s="29"/>
    </row>
    <row r="4" spans="1:11">
      <c r="A4" s="9" t="s">
        <v>11</v>
      </c>
      <c r="B4" s="18"/>
      <c r="C4" s="10">
        <v>45812</v>
      </c>
      <c r="D4" s="11">
        <v>0.40069444444444446</v>
      </c>
      <c r="E4" s="12">
        <f t="shared" ref="E4" si="0">(D4-$D$2)*24</f>
        <v>0.3833333333333333</v>
      </c>
      <c r="F4" s="13">
        <v>25</v>
      </c>
      <c r="G4" s="21">
        <v>5.56</v>
      </c>
      <c r="H4" s="16">
        <v>0</v>
      </c>
      <c r="I4" s="17">
        <v>14.8368</v>
      </c>
      <c r="J4" s="24">
        <v>32.0717</v>
      </c>
      <c r="K4" s="22">
        <v>2.431</v>
      </c>
    </row>
    <row r="5" spans="1:11" ht="14.7" customHeight="1" thickBot="1">
      <c r="A5" s="9"/>
      <c r="B5" s="19"/>
      <c r="C5" s="10"/>
      <c r="D5" s="11"/>
      <c r="E5" s="12"/>
      <c r="F5" s="13"/>
      <c r="G5" s="21"/>
      <c r="H5" s="16"/>
      <c r="I5" s="17"/>
      <c r="J5" s="25"/>
      <c r="K5" s="23"/>
    </row>
    <row r="6" spans="1:11" ht="14.7" customHeight="1">
      <c r="A6" s="20" t="s">
        <v>12</v>
      </c>
      <c r="B6" s="18"/>
      <c r="C6" s="10">
        <v>45812</v>
      </c>
      <c r="D6" s="11">
        <v>0.41458333333333336</v>
      </c>
      <c r="E6" s="12">
        <f t="shared" ref="E6" si="1">(D6-$D$2)*24</f>
        <v>0.71666666666666679</v>
      </c>
      <c r="F6" s="13">
        <v>25</v>
      </c>
      <c r="G6" s="21">
        <v>5.4</v>
      </c>
      <c r="H6" s="16">
        <v>0</v>
      </c>
      <c r="I6" s="17">
        <v>15.713100000000001</v>
      </c>
      <c r="J6" s="24">
        <v>29.9849</v>
      </c>
      <c r="K6" s="22">
        <v>3.2637999999999998</v>
      </c>
    </row>
    <row r="7" spans="1:11" ht="14.7" customHeight="1" thickBot="1">
      <c r="A7" s="9"/>
      <c r="B7" s="19"/>
      <c r="C7" s="10"/>
      <c r="D7" s="11"/>
      <c r="E7" s="12"/>
      <c r="F7" s="13"/>
      <c r="G7" s="21"/>
      <c r="H7" s="16"/>
      <c r="I7" s="17"/>
      <c r="J7" s="25"/>
      <c r="K7" s="23"/>
    </row>
    <row r="8" spans="1:11" ht="14.7" customHeight="1">
      <c r="A8" s="9" t="s">
        <v>13</v>
      </c>
      <c r="B8" s="18"/>
      <c r="C8" s="10">
        <v>45812</v>
      </c>
      <c r="D8" s="11">
        <v>0.4284722222222222</v>
      </c>
      <c r="E8" s="12">
        <f t="shared" ref="E8" si="2">(D8-$D$2)*24</f>
        <v>1.0499999999999989</v>
      </c>
      <c r="F8" s="13">
        <v>25</v>
      </c>
      <c r="G8" s="21">
        <v>5.3</v>
      </c>
      <c r="H8" s="16">
        <v>0</v>
      </c>
      <c r="I8" s="17">
        <v>16.2835</v>
      </c>
      <c r="J8" s="24">
        <v>28.306899999999999</v>
      </c>
      <c r="K8" s="22">
        <v>4.9088000000000003</v>
      </c>
    </row>
    <row r="9" spans="1:11" ht="14.7" customHeight="1" thickBot="1">
      <c r="A9" s="9"/>
      <c r="B9" s="19"/>
      <c r="C9" s="10"/>
      <c r="D9" s="11"/>
      <c r="E9" s="12"/>
      <c r="F9" s="13"/>
      <c r="G9" s="21"/>
      <c r="H9" s="16"/>
      <c r="I9" s="17"/>
      <c r="J9" s="25"/>
      <c r="K9" s="23"/>
    </row>
    <row r="10" spans="1:11" ht="14.7" customHeight="1">
      <c r="A10" s="20" t="s">
        <v>14</v>
      </c>
      <c r="B10" s="18"/>
      <c r="C10" s="10">
        <v>45812</v>
      </c>
      <c r="D10" s="11">
        <v>0.44027777777777777</v>
      </c>
      <c r="E10" s="12">
        <f t="shared" ref="E10" si="3">(D10-$D$2)*24</f>
        <v>1.3333333333333326</v>
      </c>
      <c r="F10" s="13">
        <v>25</v>
      </c>
      <c r="G10" s="21">
        <v>5.24</v>
      </c>
      <c r="H10" s="16">
        <v>0</v>
      </c>
      <c r="I10" s="17">
        <v>16.4498</v>
      </c>
      <c r="J10" s="24">
        <v>24.4315</v>
      </c>
      <c r="K10" s="22">
        <v>5.3480999999999996</v>
      </c>
    </row>
    <row r="11" spans="1:11" ht="14.7" customHeight="1" thickBot="1">
      <c r="A11" s="9"/>
      <c r="B11" s="19"/>
      <c r="C11" s="10"/>
      <c r="D11" s="11"/>
      <c r="E11" s="12"/>
      <c r="F11" s="13"/>
      <c r="G11" s="21"/>
      <c r="H11" s="16"/>
      <c r="I11" s="17"/>
      <c r="J11" s="25"/>
      <c r="K11" s="23"/>
    </row>
    <row r="12" spans="1:11" ht="14.7" customHeight="1">
      <c r="A12" s="9" t="s">
        <v>15</v>
      </c>
      <c r="B12" s="18"/>
      <c r="C12" s="10">
        <v>45812</v>
      </c>
      <c r="D12" s="11">
        <v>0.46527777777777779</v>
      </c>
      <c r="E12" s="12">
        <f t="shared" ref="E12" si="4">(D12-$D$2)*24</f>
        <v>1.9333333333333331</v>
      </c>
      <c r="F12" s="13">
        <v>25</v>
      </c>
      <c r="G12" s="21">
        <v>5.12</v>
      </c>
      <c r="H12" s="16">
        <v>0</v>
      </c>
      <c r="I12" s="17">
        <v>17.941700000000001</v>
      </c>
      <c r="J12" s="24">
        <v>19.281300000000002</v>
      </c>
      <c r="K12" s="22">
        <v>7.4806999999999997</v>
      </c>
    </row>
    <row r="13" spans="1:11" ht="14.7" customHeight="1" thickBot="1">
      <c r="A13" s="9"/>
      <c r="B13" s="19"/>
      <c r="C13" s="10"/>
      <c r="D13" s="11"/>
      <c r="E13" s="12"/>
      <c r="F13" s="13"/>
      <c r="G13" s="21"/>
      <c r="H13" s="16"/>
      <c r="I13" s="17"/>
      <c r="J13" s="25"/>
      <c r="K13" s="23"/>
    </row>
    <row r="14" spans="1:11" ht="14.7" customHeight="1">
      <c r="A14" s="20" t="s">
        <v>16</v>
      </c>
      <c r="B14" s="18"/>
      <c r="C14" s="10">
        <v>45812</v>
      </c>
      <c r="D14" s="11">
        <v>0.48541666666666666</v>
      </c>
      <c r="E14" s="12">
        <f t="shared" ref="E14" si="5">(D14-$D$2)*24</f>
        <v>2.4166666666666661</v>
      </c>
      <c r="F14" s="13">
        <v>25</v>
      </c>
      <c r="G14" s="21">
        <v>5.05</v>
      </c>
      <c r="H14" s="16">
        <v>0</v>
      </c>
      <c r="I14" s="17">
        <v>19.765999999999998</v>
      </c>
      <c r="J14" s="24">
        <v>15.1564</v>
      </c>
      <c r="K14" s="22">
        <v>9.4687000000000001</v>
      </c>
    </row>
    <row r="15" spans="1:11" ht="14.7" customHeight="1" thickBot="1">
      <c r="A15" s="9"/>
      <c r="B15" s="19"/>
      <c r="C15" s="10"/>
      <c r="D15" s="11"/>
      <c r="E15" s="12"/>
      <c r="F15" s="13"/>
      <c r="G15" s="21"/>
      <c r="H15" s="16"/>
      <c r="I15" s="17"/>
      <c r="J15" s="25"/>
      <c r="K15" s="23"/>
    </row>
    <row r="16" spans="1:11" ht="14.7" customHeight="1">
      <c r="A16" s="9" t="s">
        <v>17</v>
      </c>
      <c r="B16" s="18"/>
      <c r="C16" s="10">
        <v>45812</v>
      </c>
      <c r="D16" s="11">
        <v>0.49791666666666667</v>
      </c>
      <c r="E16" s="12">
        <f t="shared" ref="E16" si="6">(D16-$D$2)*24</f>
        <v>2.7166666666666663</v>
      </c>
      <c r="F16" s="13">
        <v>25</v>
      </c>
      <c r="G16" s="21">
        <v>4.96</v>
      </c>
      <c r="H16" s="16">
        <v>0</v>
      </c>
      <c r="I16" s="17">
        <v>18.5901</v>
      </c>
      <c r="J16" s="24">
        <v>11.688800000000001</v>
      </c>
      <c r="K16" s="22">
        <v>12.698700000000001</v>
      </c>
    </row>
    <row r="17" spans="1:11" ht="14.7" customHeight="1" thickBot="1">
      <c r="A17" s="9"/>
      <c r="B17" s="19"/>
      <c r="C17" s="10"/>
      <c r="D17" s="11"/>
      <c r="E17" s="12"/>
      <c r="F17" s="13"/>
      <c r="G17" s="21"/>
      <c r="H17" s="16"/>
      <c r="I17" s="17"/>
      <c r="J17" s="25"/>
      <c r="K17" s="23"/>
    </row>
    <row r="18" spans="1:11" ht="14.7" customHeight="1">
      <c r="A18" s="20" t="s">
        <v>18</v>
      </c>
      <c r="B18" s="18"/>
      <c r="C18" s="10">
        <v>45812</v>
      </c>
      <c r="D18" s="11">
        <v>0.51111111111111107</v>
      </c>
      <c r="E18" s="12">
        <f t="shared" ref="E18" si="7">(D18-$D$2)*24</f>
        <v>3.0333333333333319</v>
      </c>
      <c r="F18" s="13">
        <v>25</v>
      </c>
      <c r="G18" s="14">
        <v>4.8899999999999997</v>
      </c>
      <c r="H18" s="16">
        <v>0</v>
      </c>
      <c r="I18" s="17">
        <v>19.361899999999999</v>
      </c>
      <c r="J18" s="24">
        <v>8.1485000000000003</v>
      </c>
      <c r="K18" s="22">
        <v>14.2006</v>
      </c>
    </row>
    <row r="19" spans="1:11" ht="14.7" customHeight="1" thickBot="1">
      <c r="A19" s="9"/>
      <c r="B19" s="19"/>
      <c r="C19" s="10"/>
      <c r="D19" s="11"/>
      <c r="E19" s="12"/>
      <c r="F19" s="13"/>
      <c r="G19" s="15"/>
      <c r="H19" s="16"/>
      <c r="I19" s="17"/>
      <c r="J19" s="25"/>
      <c r="K19" s="23"/>
    </row>
    <row r="20" spans="1:11" ht="14.7" customHeight="1">
      <c r="A20" s="9" t="s">
        <v>19</v>
      </c>
      <c r="B20" s="18"/>
      <c r="C20" s="10">
        <v>45812</v>
      </c>
      <c r="D20" s="11">
        <v>0.52569444444444446</v>
      </c>
      <c r="E20" s="12">
        <f t="shared" ref="E20" si="8">(D20-$D$2)*24</f>
        <v>3.3833333333333333</v>
      </c>
      <c r="F20" s="13">
        <v>25</v>
      </c>
      <c r="G20" s="14">
        <v>4.82</v>
      </c>
      <c r="H20" s="16">
        <v>0</v>
      </c>
      <c r="I20" s="17">
        <v>19.582799999999999</v>
      </c>
      <c r="J20" s="24">
        <v>3.8218000000000001</v>
      </c>
      <c r="K20" s="22">
        <v>14.825900000000001</v>
      </c>
    </row>
    <row r="21" spans="1:11" ht="14.7" customHeight="1" thickBot="1">
      <c r="A21" s="9"/>
      <c r="B21" s="19"/>
      <c r="C21" s="10"/>
      <c r="D21" s="11"/>
      <c r="E21" s="12"/>
      <c r="F21" s="13"/>
      <c r="G21" s="15"/>
      <c r="H21" s="16"/>
      <c r="I21" s="17"/>
      <c r="J21" s="25"/>
      <c r="K21" s="23"/>
    </row>
    <row r="22" spans="1:11" ht="14.7" customHeight="1">
      <c r="A22" s="20" t="s">
        <v>20</v>
      </c>
      <c r="B22" s="18"/>
      <c r="C22" s="10">
        <v>45812</v>
      </c>
      <c r="D22" s="11">
        <v>0.54583333333333328</v>
      </c>
      <c r="E22" s="12">
        <f t="shared" ref="E22" si="9">(D22-$D$2)*24</f>
        <v>3.8666666666666649</v>
      </c>
      <c r="F22" s="13">
        <v>25</v>
      </c>
      <c r="G22" s="14">
        <v>4.76</v>
      </c>
      <c r="H22" s="16">
        <v>0</v>
      </c>
      <c r="I22" s="17">
        <v>21.233799999999999</v>
      </c>
      <c r="J22" s="24" t="s">
        <v>22</v>
      </c>
      <c r="K22" s="22">
        <v>15.613099999999999</v>
      </c>
    </row>
    <row r="23" spans="1:11" ht="14.7" customHeight="1" thickBot="1">
      <c r="A23" s="9"/>
      <c r="B23" s="19"/>
      <c r="C23" s="10"/>
      <c r="D23" s="11"/>
      <c r="E23" s="12"/>
      <c r="F23" s="13"/>
      <c r="G23" s="15"/>
      <c r="H23" s="16"/>
      <c r="I23" s="17"/>
      <c r="J23" s="25"/>
      <c r="K23" s="23"/>
    </row>
    <row r="24" spans="1:11" ht="14.7" customHeight="1">
      <c r="A24" s="9" t="s">
        <v>21</v>
      </c>
      <c r="B24" s="18"/>
      <c r="C24" s="10">
        <v>45812</v>
      </c>
      <c r="D24" s="11">
        <v>0.56111111111111112</v>
      </c>
      <c r="E24" s="12">
        <f t="shared" ref="E24" si="10">(D24-$D$2)*24</f>
        <v>4.2333333333333325</v>
      </c>
      <c r="F24" s="13">
        <v>25</v>
      </c>
      <c r="G24" s="14">
        <v>4.8</v>
      </c>
      <c r="H24" s="16">
        <v>0</v>
      </c>
      <c r="I24" s="17">
        <v>21.482600000000001</v>
      </c>
      <c r="J24" s="24" t="s">
        <v>22</v>
      </c>
      <c r="K24" s="22">
        <v>15.777100000000001</v>
      </c>
    </row>
    <row r="25" spans="1:11" ht="14.7" customHeight="1" thickBot="1">
      <c r="A25" s="9"/>
      <c r="B25" s="19"/>
      <c r="C25" s="10"/>
      <c r="D25" s="11"/>
      <c r="E25" s="12"/>
      <c r="F25" s="13"/>
      <c r="G25" s="15"/>
      <c r="H25" s="16"/>
      <c r="I25" s="17"/>
      <c r="J25" s="25"/>
      <c r="K25" s="23"/>
    </row>
    <row r="26" spans="1:11" ht="14.7" customHeight="1">
      <c r="A26" s="20" t="s">
        <v>23</v>
      </c>
      <c r="B26" s="18"/>
      <c r="C26" s="10">
        <v>45812</v>
      </c>
      <c r="D26" s="11">
        <v>0.57499999999999996</v>
      </c>
      <c r="E26" s="12">
        <f t="shared" ref="E26" si="11">(D26-$D$2)*24</f>
        <v>4.5666666666666647</v>
      </c>
      <c r="F26" s="13">
        <v>25</v>
      </c>
      <c r="G26" s="21">
        <v>4.83</v>
      </c>
      <c r="H26" s="16">
        <v>0</v>
      </c>
      <c r="I26" s="17">
        <v>21.5914</v>
      </c>
      <c r="J26" s="24" t="s">
        <v>22</v>
      </c>
      <c r="K26" s="22">
        <v>15.7982</v>
      </c>
    </row>
    <row r="27" spans="1:11" ht="14.7" customHeight="1" thickBot="1">
      <c r="A27" s="9"/>
      <c r="B27" s="19"/>
      <c r="C27" s="10"/>
      <c r="D27" s="11"/>
      <c r="E27" s="12"/>
      <c r="F27" s="13"/>
      <c r="G27" s="21"/>
      <c r="H27" s="16"/>
      <c r="I27" s="17"/>
      <c r="J27" s="25"/>
      <c r="K27" s="23"/>
    </row>
    <row r="28" spans="1:11" ht="14.7" customHeight="1">
      <c r="A28" s="9" t="s">
        <v>24</v>
      </c>
      <c r="B28" s="18"/>
      <c r="C28" s="10">
        <v>45812</v>
      </c>
      <c r="D28" s="11">
        <v>0.58819444444444446</v>
      </c>
      <c r="E28" s="12">
        <f t="shared" ref="E28" si="12">(D28-$D$2)*24</f>
        <v>4.8833333333333329</v>
      </c>
      <c r="F28" s="13">
        <v>25</v>
      </c>
      <c r="G28" s="21">
        <v>4.84</v>
      </c>
      <c r="H28" s="16">
        <v>0</v>
      </c>
      <c r="I28" s="17">
        <v>21.6678</v>
      </c>
      <c r="J28" s="24" t="s">
        <v>22</v>
      </c>
      <c r="K28" s="22">
        <v>15.8551</v>
      </c>
    </row>
    <row r="29" spans="1:11" ht="14.7" customHeight="1" thickBot="1">
      <c r="A29" s="9"/>
      <c r="B29" s="19"/>
      <c r="C29" s="10"/>
      <c r="D29" s="11"/>
      <c r="E29" s="12"/>
      <c r="F29" s="13"/>
      <c r="G29" s="21"/>
      <c r="H29" s="16"/>
      <c r="I29" s="17"/>
      <c r="J29" s="25"/>
      <c r="K29" s="23"/>
    </row>
    <row r="30" spans="1:11" ht="14.7" customHeight="1">
      <c r="A30" s="20" t="s">
        <v>25</v>
      </c>
      <c r="B30" s="18"/>
      <c r="C30" s="10">
        <v>45812</v>
      </c>
      <c r="D30" s="11">
        <v>0.60138888888888886</v>
      </c>
      <c r="E30" s="12">
        <f t="shared" ref="E30" si="13">(D30-$D$2)*24</f>
        <v>5.1999999999999993</v>
      </c>
      <c r="F30" s="13">
        <v>25</v>
      </c>
      <c r="G30" s="14">
        <v>4.84</v>
      </c>
      <c r="H30" s="16">
        <v>0</v>
      </c>
      <c r="I30" s="17">
        <v>21.097300000000001</v>
      </c>
      <c r="J30" s="24" t="s">
        <v>22</v>
      </c>
      <c r="K30" s="22">
        <v>15.9445</v>
      </c>
    </row>
    <row r="31" spans="1:11" ht="14.7" customHeight="1" thickBot="1">
      <c r="A31" s="9"/>
      <c r="B31" s="19"/>
      <c r="C31" s="10"/>
      <c r="D31" s="11"/>
      <c r="E31" s="12"/>
      <c r="F31" s="13"/>
      <c r="G31" s="15"/>
      <c r="H31" s="16"/>
      <c r="I31" s="17"/>
      <c r="J31" s="25"/>
      <c r="K31" s="23"/>
    </row>
    <row r="32" spans="1:11" ht="14.7" customHeight="1">
      <c r="A32" s="9" t="s">
        <v>26</v>
      </c>
      <c r="B32" s="18"/>
      <c r="C32" s="10">
        <v>45812</v>
      </c>
      <c r="D32" s="11">
        <v>0.63402777777777775</v>
      </c>
      <c r="E32" s="12">
        <f t="shared" ref="E32" si="14">(D32-$D$2)*24</f>
        <v>5.9833333333333325</v>
      </c>
      <c r="F32" s="13">
        <v>25</v>
      </c>
      <c r="G32" s="14">
        <v>4.88</v>
      </c>
      <c r="H32" s="30">
        <v>6.6</v>
      </c>
      <c r="I32" s="17">
        <v>21.7073</v>
      </c>
      <c r="J32" s="24" t="s">
        <v>22</v>
      </c>
      <c r="K32" s="22">
        <v>15.501799999999999</v>
      </c>
    </row>
    <row r="33" spans="1:11" ht="14.7" customHeight="1" thickBot="1">
      <c r="A33" s="9"/>
      <c r="B33" s="19"/>
      <c r="C33" s="10"/>
      <c r="D33" s="11"/>
      <c r="E33" s="12"/>
      <c r="F33" s="13"/>
      <c r="G33" s="15"/>
      <c r="H33" s="31"/>
      <c r="I33" s="17"/>
      <c r="J33" s="25"/>
      <c r="K33" s="23"/>
    </row>
    <row r="34" spans="1:11" ht="14.7" customHeight="1">
      <c r="A34" s="20" t="s">
        <v>27</v>
      </c>
      <c r="B34" s="18"/>
      <c r="C34" s="10">
        <v>45812</v>
      </c>
      <c r="D34" s="11">
        <v>0.64652777777777781</v>
      </c>
      <c r="E34" s="12">
        <f t="shared" ref="E34" si="15">(D34-$D$2)*24</f>
        <v>6.2833333333333332</v>
      </c>
      <c r="F34" s="13">
        <v>25</v>
      </c>
      <c r="G34" s="14">
        <v>4.95</v>
      </c>
      <c r="H34" s="30">
        <v>16</v>
      </c>
      <c r="I34" s="17">
        <v>21.797999999999998</v>
      </c>
      <c r="J34" s="24" t="s">
        <v>22</v>
      </c>
      <c r="K34" s="22">
        <v>15.2685</v>
      </c>
    </row>
    <row r="35" spans="1:11" ht="14.7" customHeight="1" thickBot="1">
      <c r="A35" s="9"/>
      <c r="B35" s="19"/>
      <c r="C35" s="10"/>
      <c r="D35" s="11"/>
      <c r="E35" s="12"/>
      <c r="F35" s="13"/>
      <c r="G35" s="15"/>
      <c r="H35" s="31"/>
      <c r="I35" s="17"/>
      <c r="J35" s="25"/>
      <c r="K35" s="23"/>
    </row>
    <row r="36" spans="1:11" ht="14.7" customHeight="1">
      <c r="A36" s="9" t="s">
        <v>28</v>
      </c>
      <c r="B36" s="18"/>
      <c r="C36" s="10">
        <v>45812</v>
      </c>
      <c r="D36" s="11">
        <v>0.66111111111111109</v>
      </c>
      <c r="E36" s="12">
        <f t="shared" ref="E36" si="16">(D36-$D$2)*24</f>
        <v>6.6333333333333329</v>
      </c>
      <c r="F36" s="13">
        <v>25</v>
      </c>
      <c r="G36" s="14">
        <v>5.05</v>
      </c>
      <c r="H36" s="30">
        <v>13.4</v>
      </c>
      <c r="I36" s="17">
        <v>22.700099999999999</v>
      </c>
      <c r="J36" s="24" t="s">
        <v>22</v>
      </c>
      <c r="K36" s="22">
        <v>15.4815</v>
      </c>
    </row>
    <row r="37" spans="1:11" ht="14.7" customHeight="1" thickBot="1">
      <c r="A37" s="9"/>
      <c r="B37" s="19"/>
      <c r="C37" s="10"/>
      <c r="D37" s="11"/>
      <c r="E37" s="12"/>
      <c r="F37" s="13"/>
      <c r="G37" s="15"/>
      <c r="H37" s="31"/>
      <c r="I37" s="17"/>
      <c r="J37" s="25"/>
      <c r="K37" s="23"/>
    </row>
    <row r="38" spans="1:11" ht="14.7" customHeight="1">
      <c r="A38" s="20" t="s">
        <v>29</v>
      </c>
      <c r="B38" s="18"/>
      <c r="C38" s="10">
        <v>45812</v>
      </c>
      <c r="D38" s="11">
        <v>0.67152777777777772</v>
      </c>
      <c r="E38" s="12">
        <f t="shared" ref="E38" si="17">(D38-$D$2)*24</f>
        <v>6.8833333333333311</v>
      </c>
      <c r="F38" s="13">
        <v>25</v>
      </c>
      <c r="G38" s="21">
        <v>5.12</v>
      </c>
      <c r="H38" s="30">
        <v>12</v>
      </c>
      <c r="I38" s="17">
        <v>23.25</v>
      </c>
      <c r="J38" s="24" t="s">
        <v>22</v>
      </c>
      <c r="K38" s="22">
        <v>15.8261</v>
      </c>
    </row>
    <row r="39" spans="1:11" ht="14.7" customHeight="1" thickBot="1">
      <c r="A39" s="9"/>
      <c r="B39" s="19"/>
      <c r="C39" s="10"/>
      <c r="D39" s="11"/>
      <c r="E39" s="12"/>
      <c r="F39" s="13"/>
      <c r="G39" s="21"/>
      <c r="H39" s="31"/>
      <c r="I39" s="17"/>
      <c r="J39" s="25"/>
      <c r="K39" s="23"/>
    </row>
    <row r="40" spans="1:11" ht="14.7" customHeight="1">
      <c r="A40" s="9" t="s">
        <v>30</v>
      </c>
      <c r="B40" s="18"/>
      <c r="C40" s="10">
        <v>45812</v>
      </c>
      <c r="D40" s="11">
        <v>0.68263888888888891</v>
      </c>
      <c r="E40" s="12">
        <f t="shared" ref="E40" si="18">(D40-$D$2)*24</f>
        <v>7.15</v>
      </c>
      <c r="F40" s="13">
        <v>25</v>
      </c>
      <c r="G40" s="21">
        <v>5.19</v>
      </c>
      <c r="H40" s="30">
        <v>11</v>
      </c>
      <c r="I40" s="17">
        <v>21.4712</v>
      </c>
      <c r="J40" s="24" t="s">
        <v>22</v>
      </c>
      <c r="K40" s="22">
        <v>15.8383</v>
      </c>
    </row>
    <row r="41" spans="1:11" ht="14.7" customHeight="1" thickBot="1">
      <c r="A41" s="9"/>
      <c r="B41" s="19"/>
      <c r="C41" s="10"/>
      <c r="D41" s="11"/>
      <c r="E41" s="12"/>
      <c r="F41" s="13"/>
      <c r="G41" s="21"/>
      <c r="H41" s="31"/>
      <c r="I41" s="17"/>
      <c r="J41" s="25"/>
      <c r="K41" s="23"/>
    </row>
    <row r="42" spans="1:11" ht="14.7" customHeight="1">
      <c r="A42" s="20" t="s">
        <v>31</v>
      </c>
      <c r="B42" s="18"/>
      <c r="C42" s="10">
        <v>45812</v>
      </c>
      <c r="D42" s="11">
        <v>0.6958333333333333</v>
      </c>
      <c r="E42" s="12">
        <f t="shared" ref="E42" si="19">(D42-$D$2)*24</f>
        <v>7.466666666666665</v>
      </c>
      <c r="F42" s="13">
        <v>25</v>
      </c>
      <c r="G42" s="14">
        <v>5.25</v>
      </c>
      <c r="H42" s="30">
        <v>10.6</v>
      </c>
      <c r="I42" s="17">
        <v>24.589500000000001</v>
      </c>
      <c r="J42" s="24" t="s">
        <v>22</v>
      </c>
      <c r="K42" s="22">
        <v>15.739699999999999</v>
      </c>
    </row>
    <row r="43" spans="1:11" ht="14.7" customHeight="1" thickBot="1">
      <c r="A43" s="9"/>
      <c r="B43" s="19"/>
      <c r="C43" s="10"/>
      <c r="D43" s="11"/>
      <c r="E43" s="12"/>
      <c r="F43" s="13"/>
      <c r="G43" s="15"/>
      <c r="H43" s="31"/>
      <c r="I43" s="17"/>
      <c r="J43" s="25"/>
      <c r="K43" s="23"/>
    </row>
    <row r="44" spans="1:11" ht="14.7" customHeight="1">
      <c r="A44" s="9"/>
      <c r="B44" s="18"/>
      <c r="C44" s="10"/>
      <c r="D44" s="11"/>
      <c r="E44" s="12"/>
      <c r="F44" s="13"/>
      <c r="G44" s="14"/>
      <c r="H44" s="16"/>
      <c r="I44" s="17"/>
      <c r="J44" s="24"/>
      <c r="K44" s="22"/>
    </row>
    <row r="45" spans="1:11" ht="14.7" customHeight="1" thickBot="1">
      <c r="A45" s="9"/>
      <c r="B45" s="19"/>
      <c r="C45" s="10"/>
      <c r="D45" s="11"/>
      <c r="E45" s="12"/>
      <c r="F45" s="13"/>
      <c r="G45" s="15"/>
      <c r="H45" s="16"/>
      <c r="I45" s="17"/>
      <c r="J45" s="25"/>
      <c r="K45" s="23"/>
    </row>
    <row r="46" spans="1:11" ht="14.7" customHeight="1">
      <c r="A46" s="20"/>
      <c r="B46" s="18"/>
      <c r="C46" s="10"/>
      <c r="D46" s="11"/>
      <c r="E46" s="12"/>
      <c r="F46" s="13"/>
      <c r="G46" s="14"/>
      <c r="H46" s="16"/>
      <c r="I46" s="17"/>
      <c r="J46" s="24"/>
      <c r="K46" s="22"/>
    </row>
    <row r="47" spans="1:11" ht="14.7" customHeight="1" thickBot="1">
      <c r="A47" s="9"/>
      <c r="B47" s="19"/>
      <c r="C47" s="10"/>
      <c r="D47" s="11"/>
      <c r="E47" s="12"/>
      <c r="F47" s="13"/>
      <c r="G47" s="15"/>
      <c r="H47" s="16"/>
      <c r="I47" s="17"/>
      <c r="J47" s="25"/>
      <c r="K47" s="23"/>
    </row>
    <row r="48" spans="1:11" ht="14.7" customHeight="1">
      <c r="A48" s="9"/>
      <c r="B48" s="18"/>
      <c r="C48" s="10"/>
      <c r="D48" s="11"/>
      <c r="E48" s="12"/>
      <c r="F48" s="13"/>
      <c r="G48" s="14"/>
      <c r="H48" s="16"/>
      <c r="I48" s="17"/>
      <c r="J48" s="24"/>
      <c r="K48" s="22"/>
    </row>
    <row r="49" spans="1:11" ht="14.7" customHeight="1">
      <c r="A49" s="9"/>
      <c r="B49" s="19"/>
      <c r="C49" s="10"/>
      <c r="D49" s="11"/>
      <c r="E49" s="12"/>
      <c r="F49" s="13"/>
      <c r="G49" s="15"/>
      <c r="H49" s="16"/>
      <c r="I49" s="17"/>
      <c r="J49" s="25"/>
      <c r="K49" s="23"/>
    </row>
  </sheetData>
  <mergeCells count="265">
    <mergeCell ref="J46:J47"/>
    <mergeCell ref="K46:K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2:J43"/>
    <mergeCell ref="K42:K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38:J39"/>
    <mergeCell ref="K38:K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K40:K41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4:J35"/>
    <mergeCell ref="K34:K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K36:K37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0:J31"/>
    <mergeCell ref="K30:K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K32:K33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26:J27"/>
    <mergeCell ref="K26:K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0:J21"/>
    <mergeCell ref="J24:J25"/>
    <mergeCell ref="K16:K17"/>
    <mergeCell ref="J18:J19"/>
    <mergeCell ref="K18:K19"/>
    <mergeCell ref="K20:K21"/>
    <mergeCell ref="J22:J23"/>
    <mergeCell ref="K22:K23"/>
    <mergeCell ref="K24:K25"/>
    <mergeCell ref="J6:J7"/>
    <mergeCell ref="K6:K7"/>
    <mergeCell ref="J2:J3"/>
    <mergeCell ref="K2:K3"/>
    <mergeCell ref="J4:J5"/>
    <mergeCell ref="J8:J9"/>
    <mergeCell ref="J12:J13"/>
    <mergeCell ref="J16:J17"/>
    <mergeCell ref="K4:K5"/>
    <mergeCell ref="A1:B1"/>
    <mergeCell ref="A2:A3"/>
    <mergeCell ref="C2:C3"/>
    <mergeCell ref="D2:D3"/>
    <mergeCell ref="E2:E3"/>
    <mergeCell ref="F2:F3"/>
    <mergeCell ref="G2:G3"/>
    <mergeCell ref="H2:H3"/>
    <mergeCell ref="I2:I3"/>
    <mergeCell ref="B2:B3"/>
    <mergeCell ref="A10:A11"/>
    <mergeCell ref="C10:C11"/>
    <mergeCell ref="D10:D11"/>
    <mergeCell ref="E10:E11"/>
    <mergeCell ref="F10:F11"/>
    <mergeCell ref="K8:K9"/>
    <mergeCell ref="K12:K13"/>
    <mergeCell ref="J14:J15"/>
    <mergeCell ref="K14:K15"/>
    <mergeCell ref="J10:J11"/>
    <mergeCell ref="K10:K11"/>
    <mergeCell ref="I10:I11"/>
    <mergeCell ref="A8:A9"/>
    <mergeCell ref="C8:C9"/>
    <mergeCell ref="D8:D9"/>
    <mergeCell ref="E8:E9"/>
    <mergeCell ref="F8:F9"/>
    <mergeCell ref="G8:G9"/>
    <mergeCell ref="H8:H9"/>
    <mergeCell ref="I8:I9"/>
    <mergeCell ref="G10:G11"/>
    <mergeCell ref="H10:H11"/>
    <mergeCell ref="B8:B9"/>
    <mergeCell ref="B10:B11"/>
    <mergeCell ref="A6:A7"/>
    <mergeCell ref="C6:C7"/>
    <mergeCell ref="D6:D7"/>
    <mergeCell ref="E6:E7"/>
    <mergeCell ref="F6:F7"/>
    <mergeCell ref="G6:G7"/>
    <mergeCell ref="H6:H7"/>
    <mergeCell ref="I6:I7"/>
    <mergeCell ref="B6:B7"/>
    <mergeCell ref="A4:A5"/>
    <mergeCell ref="C4:C5"/>
    <mergeCell ref="D4:D5"/>
    <mergeCell ref="E4:E5"/>
    <mergeCell ref="F4:F5"/>
    <mergeCell ref="G4:G5"/>
    <mergeCell ref="H4:H5"/>
    <mergeCell ref="I4:I5"/>
    <mergeCell ref="B4:B5"/>
    <mergeCell ref="A12:A13"/>
    <mergeCell ref="C12:C13"/>
    <mergeCell ref="D12:D13"/>
    <mergeCell ref="E12:E13"/>
    <mergeCell ref="F12:F13"/>
    <mergeCell ref="G12:G13"/>
    <mergeCell ref="H12:H13"/>
    <mergeCell ref="I12:I13"/>
    <mergeCell ref="A14:A15"/>
    <mergeCell ref="C14:C15"/>
    <mergeCell ref="D14:D15"/>
    <mergeCell ref="E14:E15"/>
    <mergeCell ref="F14:F15"/>
    <mergeCell ref="G14:G15"/>
    <mergeCell ref="H14:H15"/>
    <mergeCell ref="I14:I15"/>
    <mergeCell ref="B12:B13"/>
    <mergeCell ref="B14:B15"/>
    <mergeCell ref="A16:A17"/>
    <mergeCell ref="C16:C17"/>
    <mergeCell ref="D16:D17"/>
    <mergeCell ref="E16:E17"/>
    <mergeCell ref="F16:F17"/>
    <mergeCell ref="G16:G17"/>
    <mergeCell ref="H16:H17"/>
    <mergeCell ref="I16:I17"/>
    <mergeCell ref="A18:A19"/>
    <mergeCell ref="C18:C19"/>
    <mergeCell ref="D18:D19"/>
    <mergeCell ref="E18:E19"/>
    <mergeCell ref="F18:F19"/>
    <mergeCell ref="G18:G19"/>
    <mergeCell ref="H18:H19"/>
    <mergeCell ref="I18:I19"/>
    <mergeCell ref="B16:B17"/>
    <mergeCell ref="B18:B19"/>
    <mergeCell ref="A22:A23"/>
    <mergeCell ref="C22:C23"/>
    <mergeCell ref="D22:D23"/>
    <mergeCell ref="E22:E23"/>
    <mergeCell ref="F22:F23"/>
    <mergeCell ref="G22:G23"/>
    <mergeCell ref="H22:H23"/>
    <mergeCell ref="I22:I23"/>
    <mergeCell ref="B22:B23"/>
    <mergeCell ref="A20:A21"/>
    <mergeCell ref="C20:C21"/>
    <mergeCell ref="D20:D21"/>
    <mergeCell ref="E20:E21"/>
    <mergeCell ref="F20:F21"/>
    <mergeCell ref="G20:G21"/>
    <mergeCell ref="H20:H21"/>
    <mergeCell ref="I20:I21"/>
    <mergeCell ref="B20:B21"/>
    <mergeCell ref="A24:A25"/>
    <mergeCell ref="C24:C25"/>
    <mergeCell ref="D24:D25"/>
    <mergeCell ref="E24:E25"/>
    <mergeCell ref="F24:F25"/>
    <mergeCell ref="G24:G25"/>
    <mergeCell ref="H24:H25"/>
    <mergeCell ref="I24:I25"/>
    <mergeCell ref="B24:B25"/>
  </mergeCells>
  <phoneticPr fontId="7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C7083F7AC52C4FAA0653BBC449678E" ma:contentTypeVersion="8" ma:contentTypeDescription="Create a new document." ma:contentTypeScope="" ma:versionID="76f7e5543021dfd9ad8426a1ac1bd880">
  <xsd:schema xmlns:xsd="http://www.w3.org/2001/XMLSchema" xmlns:xs="http://www.w3.org/2001/XMLSchema" xmlns:p="http://schemas.microsoft.com/office/2006/metadata/properties" xmlns:ns2="5288e161-2da4-4d10-8afc-8f3665e5f060" targetNamespace="http://schemas.microsoft.com/office/2006/metadata/properties" ma:root="true" ma:fieldsID="b7d7fcd7666206cb7563f349fe2c4bd8" ns2:_="">
    <xsd:import namespace="5288e161-2da4-4d10-8afc-8f3665e5f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88e161-2da4-4d10-8afc-8f3665e5f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209458-2342-4165-AB66-453180C99199}"/>
</file>

<file path=customXml/itemProps2.xml><?xml version="1.0" encoding="utf-8"?>
<ds:datastoreItem xmlns:ds="http://schemas.openxmlformats.org/officeDocument/2006/customXml" ds:itemID="{73AA0D68-9CD1-47B0-868C-80EFC47941EB}">
  <ds:schemaRefs>
    <ds:schemaRef ds:uri="http://schemas.microsoft.com/office/2006/metadata/properties"/>
    <ds:schemaRef ds:uri="http://schemas.microsoft.com/office/infopath/2007/PartnerControls"/>
    <ds:schemaRef ds:uri="8bdbcc16-d103-4db5-aa00-3eeb299a7140"/>
    <ds:schemaRef ds:uri="666777e8-f9e5-47de-8685-1e300ad78ef4"/>
  </ds:schemaRefs>
</ds:datastoreItem>
</file>

<file path=customXml/itemProps3.xml><?xml version="1.0" encoding="utf-8"?>
<ds:datastoreItem xmlns:ds="http://schemas.openxmlformats.org/officeDocument/2006/customXml" ds:itemID="{202073CF-A8A5-40FB-A16A-59B8A0975D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annec</dc:creator>
  <cp:keywords/>
  <dc:description/>
  <cp:lastModifiedBy>Cedric Guerin</cp:lastModifiedBy>
  <cp:revision/>
  <dcterms:created xsi:type="dcterms:W3CDTF">2022-06-10T07:36:19Z</dcterms:created>
  <dcterms:modified xsi:type="dcterms:W3CDTF">2025-06-05T07:57:21Z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0x010100C6C7083F7AC52C4FAA0653BBC449678E</vt:lpwstr>
  </property>
</Properties>
</file>